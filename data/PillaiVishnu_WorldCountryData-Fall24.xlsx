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mc:AlternateContent xmlns:mc="http://schemas.openxmlformats.org/markup-compatibility/2006">
    <mc:Choice Requires="x15">
      <x15ac:absPath xmlns:x15ac="http://schemas.microsoft.com/office/spreadsheetml/2010/11/ac" url="/Users/vishnupillai/Desktop/School/Business Analytics Certificate Program/☆STAT5001☆/Week 1/Classwork/"/>
    </mc:Choice>
  </mc:AlternateContent>
  <xr:revisionPtr revIDLastSave="0" documentId="8_{2FB021A3-186D-4D47-8CCE-7AF7B4EC9712}" xr6:coauthVersionLast="47" xr6:coauthVersionMax="47" xr10:uidLastSave="{00000000-0000-0000-0000-000000000000}"/>
  <bookViews>
    <workbookView xWindow="0" yWindow="0" windowWidth="28800" windowHeight="18000" activeTab="1" xr2:uid="{00000000-000D-0000-FFFF-FFFF00000000}"/>
  </bookViews>
  <sheets>
    <sheet name="Context" sheetId="2" r:id="rId1"/>
    <sheet name="CountryData" sheetId="1" r:id="rId2"/>
    <sheet name="Graphic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1" l="1"/>
  <c r="O5" i="1"/>
  <c r="O6" i="1"/>
  <c r="O7" i="1"/>
  <c r="M7" i="1" s="1"/>
  <c r="O8" i="1"/>
  <c r="N4" i="1"/>
  <c r="N5" i="1"/>
  <c r="N6" i="1"/>
  <c r="N7" i="1"/>
  <c r="N8" i="1"/>
  <c r="M4" i="1"/>
  <c r="M5" i="1"/>
  <c r="M6" i="1"/>
  <c r="O3" i="1"/>
  <c r="N3" i="1"/>
  <c r="L10" i="1"/>
  <c r="L8" i="1"/>
  <c r="L7" i="1"/>
  <c r="L6" i="1"/>
  <c r="L5" i="1"/>
  <c r="L4" i="1"/>
  <c r="L3" i="1"/>
  <c r="M8" i="1" l="1"/>
  <c r="M3" i="1"/>
</calcChain>
</file>

<file path=xl/sharedStrings.xml><?xml version="1.0" encoding="utf-8"?>
<sst xmlns="http://schemas.openxmlformats.org/spreadsheetml/2006/main" count="697" uniqueCount="476">
  <si>
    <t>Sovereignty</t>
  </si>
  <si>
    <t>Afghanistan</t>
  </si>
  <si>
    <t>Albania</t>
  </si>
  <si>
    <t>Algeria</t>
  </si>
  <si>
    <t>American Samoa</t>
  </si>
  <si>
    <t>Andorra</t>
  </si>
  <si>
    <t>Angola</t>
  </si>
  <si>
    <t>Antigua and Barbuda</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</si>
  <si>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</si>
  <si>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</si>
  <si>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</si>
  <si>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</si>
  <si>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</si>
  <si>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</si>
  <si>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</si>
  <si>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</si>
  <si>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</si>
  <si>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</si>
  <si>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</si>
  <si>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</si>
  <si>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</si>
  <si>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</si>
  <si>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</si>
  <si>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</si>
  <si>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</si>
  <si>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</si>
  <si>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</si>
  <si>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</si>
  <si>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</si>
  <si>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</si>
  <si>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</si>
  <si>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</si>
  <si>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</si>
  <si>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</si>
  <si>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</si>
  <si>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</si>
  <si>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</si>
  <si>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</si>
  <si>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</si>
  <si>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</si>
  <si>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</si>
  <si>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</si>
  <si>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</si>
  <si>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</si>
  <si>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</si>
  <si>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Congo, Dem. Rep.</t>
  </si>
  <si>
    <t>Congo, Rep.</t>
  </si>
  <si>
    <t>Costa Rica</t>
  </si>
  <si>
    <t>Cote d'Ivoire</t>
  </si>
  <si>
    <t>Croatia</t>
  </si>
  <si>
    <t>Cuba</t>
  </si>
  <si>
    <t>Curacao</t>
  </si>
  <si>
    <t>Cyprus</t>
  </si>
  <si>
    <t>Czech Republic</t>
  </si>
  <si>
    <t>Denmark</t>
  </si>
  <si>
    <t>Djibouti</t>
  </si>
  <si>
    <t>Dominica</t>
  </si>
  <si>
    <t>Dominican Republic</t>
  </si>
  <si>
    <t>Ecuador</t>
  </si>
  <si>
    <t>Egypt, Arab Rep.</t>
  </si>
  <si>
    <t>El Salvador</t>
  </si>
  <si>
    <t>Equatorial Guinea</t>
  </si>
  <si>
    <t>Eritrea</t>
  </si>
  <si>
    <t>Estonia</t>
  </si>
  <si>
    <t>Ethiopia</t>
  </si>
  <si>
    <t>Faroe Islands</t>
  </si>
  <si>
    <t>Fiji</t>
  </si>
  <si>
    <t>Finland</t>
  </si>
  <si>
    <t>France</t>
  </si>
  <si>
    <t>French Polynesia</t>
  </si>
  <si>
    <t>Gabon</t>
  </si>
  <si>
    <t>Gambia, The</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</si>
  <si>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</si>
  <si>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</si>
  <si>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</si>
  <si>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</si>
  <si>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</si>
  <si>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</si>
  <si>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</si>
  <si>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</si>
  <si>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</si>
  <si>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</si>
  <si>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</si>
  <si>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</si>
  <si>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</si>
  <si>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</si>
  <si>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</si>
  <si>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</si>
  <si>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</si>
  <si>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</si>
  <si>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</si>
  <si>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 Islamic Rep.</t>
  </si>
  <si>
    <t>Iraq</t>
  </si>
  <si>
    <t>Ireland</t>
  </si>
  <si>
    <t>Isle of Man</t>
  </si>
  <si>
    <t>Israel</t>
  </si>
  <si>
    <t>Italy</t>
  </si>
  <si>
    <t>Jamaica</t>
  </si>
  <si>
    <t>Japan</t>
  </si>
  <si>
    <t>Jordan</t>
  </si>
  <si>
    <t>Kazakhstan</t>
  </si>
  <si>
    <t>Kenya</t>
  </si>
  <si>
    <t>Kiribati</t>
  </si>
  <si>
    <t>Korea, Dem. People’s Rep.</t>
  </si>
  <si>
    <t>Korea, Rep.</t>
  </si>
  <si>
    <t>Kosovo</t>
  </si>
  <si>
    <t>Kuwait</t>
  </si>
  <si>
    <t>Kyrgyz Republic</t>
  </si>
  <si>
    <t>Lao PDR</t>
  </si>
  <si>
    <t>Latvia</t>
  </si>
  <si>
    <t>Lebanon</t>
  </si>
  <si>
    <t>Lesotho</t>
  </si>
  <si>
    <t>Liberia</t>
  </si>
  <si>
    <t>Libya</t>
  </si>
  <si>
    <t>Liechtenstein</t>
  </si>
  <si>
    <t>Lithuania</t>
  </si>
  <si>
    <t>Luxembourg</t>
  </si>
  <si>
    <t>Macao SAR, China</t>
  </si>
  <si>
    <t>Macedonia, FYR</t>
  </si>
  <si>
    <t>Madagascar</t>
  </si>
  <si>
    <t>Malawi</t>
  </si>
  <si>
    <t>Malaysia</t>
  </si>
  <si>
    <t>Maldives</t>
  </si>
  <si>
    <t>Mali</t>
  </si>
  <si>
    <t>Malta</t>
  </si>
  <si>
    <t>Marshall Islands</t>
  </si>
  <si>
    <t>Mauritania</t>
  </si>
  <si>
    <t>Mauritius</t>
  </si>
  <si>
    <t>Mexico</t>
  </si>
  <si>
    <t>Micronesia, Fed. Sts.</t>
  </si>
  <si>
    <t>Moldova</t>
  </si>
  <si>
    <t>Monaco</t>
  </si>
  <si>
    <t>Mongolia</t>
  </si>
  <si>
    <t>Montenegro</t>
  </si>
  <si>
    <t>Morocco</t>
  </si>
  <si>
    <t>Mozambique</t>
  </si>
  <si>
    <t>Myanmar</t>
  </si>
  <si>
    <t>Namibia</t>
  </si>
  <si>
    <t>Nauru</t>
  </si>
  <si>
    <t>Nepal</t>
  </si>
  <si>
    <t>Netherlands</t>
  </si>
  <si>
    <t>New Caledonia</t>
  </si>
  <si>
    <t>New Zealand</t>
  </si>
  <si>
    <t>Nicaragua</t>
  </si>
  <si>
    <t>Niger</t>
  </si>
  <si>
    <t>Nigeria</t>
  </si>
  <si>
    <t>Northern Mariana Islands</t>
  </si>
  <si>
    <t>Norway</t>
  </si>
  <si>
    <t>Oman</t>
  </si>
  <si>
    <t>Pakistan</t>
  </si>
  <si>
    <t>Palau</t>
  </si>
  <si>
    <t>Panama</t>
  </si>
  <si>
    <t>Papua New Guinea</t>
  </si>
  <si>
    <t>Paraguay</t>
  </si>
  <si>
    <t>Peru</t>
  </si>
  <si>
    <t>Philippines</t>
  </si>
  <si>
    <t>Poland</t>
  </si>
  <si>
    <t>Portugal</t>
  </si>
  <si>
    <t>Puerto Rico</t>
  </si>
  <si>
    <t>Qatar</t>
  </si>
  <si>
    <t>Romania</t>
  </si>
  <si>
    <t>Russian Federation</t>
  </si>
  <si>
    <t>Rwanda</t>
  </si>
  <si>
    <t>Samoa</t>
  </si>
  <si>
    <t>San Marino</t>
  </si>
  <si>
    <t>Sao Tome and Principe</t>
  </si>
  <si>
    <t>Saudi Arabia</t>
  </si>
  <si>
    <t>Senegal</t>
  </si>
  <si>
    <t>Serbia</t>
  </si>
  <si>
    <t>Seychelles</t>
  </si>
  <si>
    <t>Sierra Leone</t>
  </si>
  <si>
    <t>Singapore</t>
  </si>
  <si>
    <t>Sint Maarten (Dutch part)</t>
  </si>
  <si>
    <t>Slovak Republic</t>
  </si>
  <si>
    <t>Slovenia</t>
  </si>
  <si>
    <t>Solomon Islands</t>
  </si>
  <si>
    <t>Somalia</t>
  </si>
  <si>
    <t>South Africa</t>
  </si>
  <si>
    <t>South Sudan</t>
  </si>
  <si>
    <t>Spain</t>
  </si>
  <si>
    <t>Sri Lanka</t>
  </si>
  <si>
    <t>St. Kitts and Nevis</t>
  </si>
  <si>
    <t>St. Lucia</t>
  </si>
  <si>
    <t>St. Martin (French part)</t>
  </si>
  <si>
    <t>St. Vincent and the Grenadines</t>
  </si>
  <si>
    <t>Sudan</t>
  </si>
  <si>
    <t>Suriname</t>
  </si>
  <si>
    <t>Swaziland</t>
  </si>
  <si>
    <t>Sweden</t>
  </si>
  <si>
    <t>Switzerland</t>
  </si>
  <si>
    <t>Syrian Arab Republic</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</si>
  <si>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</si>
  <si>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</si>
  <si>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</si>
  <si>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</si>
  <si>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</si>
  <si>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</si>
  <si>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</si>
  <si>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</si>
  <si>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</si>
  <si>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</si>
  <si>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</si>
  <si>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</si>
  <si>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</si>
  <si>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</si>
  <si>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</si>
  <si>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</si>
  <si>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States</t>
  </si>
  <si>
    <t>Uruguay</t>
  </si>
  <si>
    <t>Uzbekistan</t>
  </si>
  <si>
    <t>Vanuatu</t>
  </si>
  <si>
    <t>Venezuela, RB</t>
  </si>
  <si>
    <t>Vietnam</t>
  </si>
  <si>
    <t>Virgin Islands (U.S.)</t>
  </si>
  <si>
    <t>West Bank and Gaza</t>
  </si>
  <si>
    <t>Yemen, Rep.</t>
  </si>
  <si>
    <t>Zambia</t>
  </si>
  <si>
    <t>Zimbabwe</t>
  </si>
  <si>
    <t>Population</t>
  </si>
  <si>
    <t>Area (sq-km)</t>
  </si>
  <si>
    <t>AFG</t>
  </si>
  <si>
    <t>ALB</t>
  </si>
  <si>
    <t>DZA</t>
  </si>
  <si>
    <t>ASM</t>
  </si>
  <si>
    <t>AND</t>
  </si>
  <si>
    <t>AGO</t>
  </si>
  <si>
    <t>ATG</t>
  </si>
  <si>
    <t>ARG</t>
  </si>
  <si>
    <t>ARM</t>
  </si>
  <si>
    <t>ABW</t>
  </si>
  <si>
    <t>AUS</t>
  </si>
  <si>
    <t>AUT</t>
  </si>
  <si>
    <t>AZE</t>
  </si>
  <si>
    <t>BHS</t>
  </si>
  <si>
    <t>BHR</t>
  </si>
  <si>
    <t>BGD</t>
  </si>
  <si>
    <t>BRB</t>
  </si>
  <si>
    <t>BLR</t>
  </si>
  <si>
    <t>BEL</t>
  </si>
  <si>
    <t>BLZ</t>
  </si>
  <si>
    <t>BEN</t>
  </si>
  <si>
    <t>BMU</t>
  </si>
  <si>
    <t>BTN</t>
  </si>
  <si>
    <t>BOL</t>
  </si>
  <si>
    <t>BIH</t>
  </si>
  <si>
    <t>BWA</t>
  </si>
  <si>
    <t>BRA</t>
  </si>
  <si>
    <t>VGB</t>
  </si>
  <si>
    <t>BRN</t>
  </si>
  <si>
    <t>BGR</t>
  </si>
  <si>
    <t>BFA</t>
  </si>
  <si>
    <t>BDI</t>
  </si>
  <si>
    <t>CPV</t>
  </si>
  <si>
    <t>KHM</t>
  </si>
  <si>
    <t>CMR</t>
  </si>
  <si>
    <t>CAN</t>
  </si>
  <si>
    <t>CYM</t>
  </si>
  <si>
    <t>CAF</t>
  </si>
  <si>
    <t>TCD</t>
  </si>
  <si>
    <t>CHI</t>
  </si>
  <si>
    <t>CHL</t>
  </si>
  <si>
    <t>CHN</t>
  </si>
  <si>
    <t>COL</t>
  </si>
  <si>
    <t>COM</t>
  </si>
  <si>
    <t>COD</t>
  </si>
  <si>
    <t>COG</t>
  </si>
  <si>
    <t>CRI</t>
  </si>
  <si>
    <t>CIV</t>
  </si>
  <si>
    <t>HRV</t>
  </si>
  <si>
    <t>CUB</t>
  </si>
  <si>
    <t>CUW</t>
  </si>
  <si>
    <t>CYP</t>
  </si>
  <si>
    <t>CZE</t>
  </si>
  <si>
    <t>DNK</t>
  </si>
  <si>
    <t>DJI</t>
  </si>
  <si>
    <t>DMA</t>
  </si>
  <si>
    <t>DOM</t>
  </si>
  <si>
    <t>ECU</t>
  </si>
  <si>
    <t>EGY</t>
  </si>
  <si>
    <t>SLV</t>
  </si>
  <si>
    <t>GNQ</t>
  </si>
  <si>
    <t>ERI</t>
  </si>
  <si>
    <t>EST</t>
  </si>
  <si>
    <t>ETH</t>
  </si>
  <si>
    <t>FRO</t>
  </si>
  <si>
    <t>FJI</t>
  </si>
  <si>
    <t>FIN</t>
  </si>
  <si>
    <t>FRA</t>
  </si>
  <si>
    <t>PYF</t>
  </si>
  <si>
    <t>GAB</t>
  </si>
  <si>
    <t>GMB</t>
  </si>
  <si>
    <t>GEO</t>
  </si>
  <si>
    <t>DEU</t>
  </si>
  <si>
    <t>GHA</t>
  </si>
  <si>
    <t>GIB</t>
  </si>
  <si>
    <t>GRC</t>
  </si>
  <si>
    <t>GRL</t>
  </si>
  <si>
    <t>GRD</t>
  </si>
  <si>
    <t>GUM</t>
  </si>
  <si>
    <t>GTM</t>
  </si>
  <si>
    <t>GIN</t>
  </si>
  <si>
    <t>GNB</t>
  </si>
  <si>
    <t>GUY</t>
  </si>
  <si>
    <t>HTI</t>
  </si>
  <si>
    <t>HND</t>
  </si>
  <si>
    <t>HKG</t>
  </si>
  <si>
    <t>HUN</t>
  </si>
  <si>
    <t>ISL</t>
  </si>
  <si>
    <t>IND</t>
  </si>
  <si>
    <t>IDN</t>
  </si>
  <si>
    <t>IRN</t>
  </si>
  <si>
    <t>IRQ</t>
  </si>
  <si>
    <t>IRL</t>
  </si>
  <si>
    <t>IMN</t>
  </si>
  <si>
    <t>ISR</t>
  </si>
  <si>
    <t>ITA</t>
  </si>
  <si>
    <t>JAM</t>
  </si>
  <si>
    <t>JPN</t>
  </si>
  <si>
    <t>JOR</t>
  </si>
  <si>
    <t>KAZ</t>
  </si>
  <si>
    <t>KEN</t>
  </si>
  <si>
    <t>KIR</t>
  </si>
  <si>
    <t>PRK</t>
  </si>
  <si>
    <t>KOR</t>
  </si>
  <si>
    <t>XKX</t>
  </si>
  <si>
    <t>KWT</t>
  </si>
  <si>
    <t>KGZ</t>
  </si>
  <si>
    <t>LAO</t>
  </si>
  <si>
    <t>LVA</t>
  </si>
  <si>
    <t>LBN</t>
  </si>
  <si>
    <t>LSO</t>
  </si>
  <si>
    <t>LBR</t>
  </si>
  <si>
    <t>LBY</t>
  </si>
  <si>
    <t>LIE</t>
  </si>
  <si>
    <t>LTU</t>
  </si>
  <si>
    <t>LUX</t>
  </si>
  <si>
    <t>MAC</t>
  </si>
  <si>
    <t>MKD</t>
  </si>
  <si>
    <t>MDG</t>
  </si>
  <si>
    <t>MWI</t>
  </si>
  <si>
    <t>MYS</t>
  </si>
  <si>
    <t>MDV</t>
  </si>
  <si>
    <t>MLI</t>
  </si>
  <si>
    <t>MLT</t>
  </si>
  <si>
    <t>MHL</t>
  </si>
  <si>
    <t>MRT</t>
  </si>
  <si>
    <t>MUS</t>
  </si>
  <si>
    <t>MEX</t>
  </si>
  <si>
    <t>FSM</t>
  </si>
  <si>
    <t>MDA</t>
  </si>
  <si>
    <t>MCO</t>
  </si>
  <si>
    <t>MNG</t>
  </si>
  <si>
    <t>MNE</t>
  </si>
  <si>
    <t>MAR</t>
  </si>
  <si>
    <t>MOZ</t>
  </si>
  <si>
    <t>MMR</t>
  </si>
  <si>
    <t>NAM</t>
  </si>
  <si>
    <t>NRU</t>
  </si>
  <si>
    <t>NPL</t>
  </si>
  <si>
    <t>NLD</t>
  </si>
  <si>
    <t>NCL</t>
  </si>
  <si>
    <t>NZL</t>
  </si>
  <si>
    <t>NIC</t>
  </si>
  <si>
    <t>NER</t>
  </si>
  <si>
    <t>NGA</t>
  </si>
  <si>
    <t>MNP</t>
  </si>
  <si>
    <t>NOR</t>
  </si>
  <si>
    <t>OMN</t>
  </si>
  <si>
    <t>PAK</t>
  </si>
  <si>
    <t>PLW</t>
  </si>
  <si>
    <t>PAN</t>
  </si>
  <si>
    <t>PNG</t>
  </si>
  <si>
    <t>PRY</t>
  </si>
  <si>
    <t>PER</t>
  </si>
  <si>
    <t>PHL</t>
  </si>
  <si>
    <t>POL</t>
  </si>
  <si>
    <t>PRT</t>
  </si>
  <si>
    <t>PRI</t>
  </si>
  <si>
    <t>QAT</t>
  </si>
  <si>
    <t>ROU</t>
  </si>
  <si>
    <t>RUS</t>
  </si>
  <si>
    <t>RWA</t>
  </si>
  <si>
    <t>WSM</t>
  </si>
  <si>
    <t>SMR</t>
  </si>
  <si>
    <t>STP</t>
  </si>
  <si>
    <t>SAU</t>
  </si>
  <si>
    <t>SEN</t>
  </si>
  <si>
    <t>SRB</t>
  </si>
  <si>
    <t>SYC</t>
  </si>
  <si>
    <t>SLE</t>
  </si>
  <si>
    <t>SGP</t>
  </si>
  <si>
    <t>SXM</t>
  </si>
  <si>
    <t>SVK</t>
  </si>
  <si>
    <t>SVN</t>
  </si>
  <si>
    <t>SLB</t>
  </si>
  <si>
    <t>SOM</t>
  </si>
  <si>
    <t>ZAF</t>
  </si>
  <si>
    <t>SSD</t>
  </si>
  <si>
    <t>ESP</t>
  </si>
  <si>
    <t>LKA</t>
  </si>
  <si>
    <t>KNA</t>
  </si>
  <si>
    <t>LCA</t>
  </si>
  <si>
    <t>MAF</t>
  </si>
  <si>
    <t>VCT</t>
  </si>
  <si>
    <t>SDN</t>
  </si>
  <si>
    <t>SUR</t>
  </si>
  <si>
    <t>SWZ</t>
  </si>
  <si>
    <t>SWE</t>
  </si>
  <si>
    <t>CHE</t>
  </si>
  <si>
    <t>SYR</t>
  </si>
  <si>
    <t>TJK</t>
  </si>
  <si>
    <t>TZA</t>
  </si>
  <si>
    <t>THA</t>
  </si>
  <si>
    <t>TLS</t>
  </si>
  <si>
    <t>TGO</t>
  </si>
  <si>
    <t>TON</t>
  </si>
  <si>
    <t>TTO</t>
  </si>
  <si>
    <t>TUN</t>
  </si>
  <si>
    <t>TUR</t>
  </si>
  <si>
    <t>TKM</t>
  </si>
  <si>
    <t>TCA</t>
  </si>
  <si>
    <t>TUV</t>
  </si>
  <si>
    <t>UGA</t>
  </si>
  <si>
    <t>UKR</t>
  </si>
  <si>
    <t>ARE</t>
  </si>
  <si>
    <t>GBR</t>
  </si>
  <si>
    <t>USA</t>
  </si>
  <si>
    <t>URY</t>
  </si>
  <si>
    <t>UZB</t>
  </si>
  <si>
    <t>VUT</t>
  </si>
  <si>
    <t>VEN</t>
  </si>
  <si>
    <t>VNM</t>
  </si>
  <si>
    <t>VIR</t>
  </si>
  <si>
    <t>PSE</t>
  </si>
  <si>
    <t>YEM</t>
  </si>
  <si>
    <t>ZMB</t>
  </si>
  <si>
    <t>ZWE</t>
  </si>
  <si>
    <t>Country</t>
  </si>
  <si>
    <t>Country Code</t>
  </si>
  <si>
    <t>Indicator Name</t>
  </si>
  <si>
    <t>Long definition</t>
  </si>
  <si>
    <t>Source</t>
  </si>
  <si>
    <t>Population, total</t>
  </si>
  <si>
    <t>Total population is based on the de facto definition of population, which counts all residents regardless of legal status or citizenship. The values shown are midyear estimates.</t>
  </si>
  <si>
    <t>(1) United Nations Population Division. World Population Prospects, (2) Census reports and other statistical publications from national statistical offices, (3) Eurostat: Demographic Statistics, (4) United Nations Statistical Division. Population and Vital Statistics Report (various years), (5) U.S. Census Bureau: International Database, and (6) Secretariat of the Pacific Community: Statistics and Demography Programme.</t>
  </si>
  <si>
    <t>Surface area (sq. km)</t>
  </si>
  <si>
    <t>Surface area is a country's total area, including areas under inland bodies of water and some coastal waterways.</t>
  </si>
  <si>
    <t>Food and Agriculture Organization, electronic files and web site.</t>
  </si>
  <si>
    <t>GDP (current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</si>
  <si>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</si>
  <si>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World Bank national accounts data, and OECD National Accounts data files.</t>
  </si>
  <si>
    <r>
      <rPr>
        <sz val="12"/>
        <color theme="1"/>
        <rFont val="Calibri"/>
        <family val="2"/>
        <scheme val="minor"/>
      </rPr>
      <t>Sovereignty</t>
    </r>
    <r>
      <rPr>
        <sz val="12"/>
        <color rgb="FF222222"/>
        <rFont val="Arial"/>
        <family val="2"/>
      </rPr>
      <t> </t>
    </r>
    <r>
      <rPr>
        <sz val="11"/>
        <color rgb="FF222222"/>
        <rFont val="Arial"/>
        <family val="2"/>
      </rPr>
      <t>is the full right and power of a governing body over itself, without any interference from outside sources or bodies. Coded as 1 for administrative areas with full sovereignty, 0 otherwise.</t>
    </r>
  </si>
  <si>
    <t>Based on descriptions in the CIA world factbook. Some administrative areas are almost but not quite sovereign.</t>
  </si>
  <si>
    <t>Antarctica</t>
  </si>
  <si>
    <t>ANT</t>
  </si>
  <si>
    <t>Continent</t>
  </si>
  <si>
    <t>A</t>
  </si>
  <si>
    <t>E</t>
  </si>
  <si>
    <t>F</t>
  </si>
  <si>
    <t>O</t>
  </si>
  <si>
    <t>N</t>
  </si>
  <si>
    <t>S</t>
  </si>
  <si>
    <t>A - Asia, F - Africa, , E - Europe, N -  North America, S - South America, O-Ocenania (Australasia, Melanisia, Polynesia &amp; Anarctica)</t>
  </si>
  <si>
    <t>GDP (million$)</t>
  </si>
  <si>
    <t>Europe</t>
  </si>
  <si>
    <t>Africa</t>
  </si>
  <si>
    <t>Oceania</t>
  </si>
  <si>
    <t>Asia</t>
  </si>
  <si>
    <t>Number of Countries</t>
  </si>
  <si>
    <t>Code</t>
  </si>
  <si>
    <t>Per Capita Income $1,000</t>
  </si>
  <si>
    <t>Total Population</t>
  </si>
  <si>
    <t>Total GDP (million$)</t>
  </si>
  <si>
    <t>N America</t>
  </si>
  <si>
    <t>S America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</si>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</sst>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_);_(* \(#,##0.0\);_(* &quot;-&quot;??_);_(@_)"/>
    <numFmt numFmtId="166" formatCode="0.0%"/>
    <numFmt numFmtId="167" formatCode="#,##0.0_);\(#,##0.0\)"/>
  </numFmts>
  <fonts count="7" x14ac:knownFonts="1">
    <font>
      <sz val="11"/>
      <color theme="1"/>
      <name val="Calibri"/>
      <family val="2"/>
      <scheme val="minor"/>
    </font>
    <font>
      <sz val="12"/>
      <color theme="1"/>
      <name val="Calibri"/>
      <family val="2"/>
      <scheme val="minor"/>
    </font>
    <font>
      <sz val="11"/>
      <color theme="1"/>
      <name val="Calibri"/>
      <family val="2"/>
      <scheme val="minor"/>
    </font>
    <font>
      <b/>
      <u/>
      <sz val="11"/>
      <color theme="1"/>
      <name val="Calibri"/>
      <family val="2"/>
      <scheme val="minor"/>
    </font>
    <font>
      <b/>
      <u/>
      <sz val="14"/>
      <color theme="1"/>
      <name val="Calibri"/>
      <family val="2"/>
      <scheme val="minor"/>
    </font>
    <font>
      <sz val="11"/>
      <color rgb="FF222222"/>
      <name val="Arial"/>
      <family val="2"/>
    </font>
    <font>
      <sz val="12"/>
      <color rgb="FF222222"/>
      <name val="Arial"/>
      <family val="2"/>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9">
    <xf numFmtId="0" fontId="0" fillId="0" borderId="0" xfId="0"/>
    <xf numFmtId="0" fontId="0" fillId="0" borderId="0" xfId="0" applyAlignment="1">
      <alignment horizontal="center"/>
    </xf>
    <xf numFmtId="164" fontId="0" fillId="0" borderId="0" xfId="0" applyNumberFormat="1"/>
    <xf numFmtId="164" fontId="0" fillId="0" borderId="0" xfId="0" applyNumberFormat="1" applyAlignment="1">
      <alignment horizontal="right"/>
    </xf>
    <xf numFmtId="0" fontId="3" fillId="0" borderId="0" xfId="0" applyFont="1"/>
    <xf numFmtId="0" fontId="3" fillId="0" borderId="0" xfId="0" applyFont="1" applyAlignment="1">
      <alignment horizontal="center"/>
    </xf>
    <xf numFmtId="0" fontId="3" fillId="0" borderId="0" xfId="0" applyFont="1" applyAlignment="1">
      <alignment horizontal="right"/>
    </xf>
    <xf numFmtId="165" fontId="0" fillId="0" borderId="0" xfId="1" applyNumberFormat="1" applyFont="1" applyAlignment="1">
      <alignment horizontal="center"/>
    </xf>
    <xf numFmtId="164" fontId="0" fillId="0" borderId="0" xfId="1" applyNumberFormat="1" applyFont="1" applyAlignment="1">
      <alignment horizontal="center"/>
    </xf>
    <xf numFmtId="43" fontId="0" fillId="0" borderId="0" xfId="0" applyNumberFormat="1"/>
    <xf numFmtId="0" fontId="0" fillId="0" borderId="0" xfId="0" applyAlignment="1">
      <alignment vertical="center" wrapText="1"/>
    </xf>
    <xf numFmtId="0" fontId="4" fillId="0" borderId="0" xfId="0" applyFont="1" applyAlignment="1">
      <alignment horizontal="center"/>
    </xf>
    <xf numFmtId="166" fontId="0" fillId="0" borderId="0" xfId="2" applyNumberFormat="1" applyFont="1"/>
    <xf numFmtId="43" fontId="0" fillId="0" borderId="0" xfId="0" applyNumberFormat="1" applyAlignment="1">
      <alignment horizontal="center"/>
    </xf>
    <xf numFmtId="164" fontId="0" fillId="0" borderId="0" xfId="0" applyNumberFormat="1" applyAlignment="1">
      <alignment horizontal="center"/>
    </xf>
    <xf numFmtId="0" fontId="3" fillId="0" borderId="0" xfId="0" applyFont="1" applyAlignment="1">
      <alignment horizontal="left"/>
    </xf>
    <xf numFmtId="43" fontId="0" fillId="0" borderId="0" xfId="1" applyFont="1" applyAlignment="1">
      <alignment horizontal="center"/>
    </xf>
    <xf numFmtId="167" fontId="0" fillId="0" borderId="0" xfId="1" applyNumberFormat="1" applyFont="1" applyAlignment="1">
      <alignment horizontal="center"/>
    </xf>
    <xf numFmtId="0" fontId="0" fillId="0" borderId="0" xfId="0" applyFill="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CC9F1B"/>
      <color rgb="FFD46919"/>
      <color rgb="FF8F6E10"/>
      <color rgb="FFCD1F03"/>
      <color rgb="FF5E8E3F"/>
      <color rgb="FFF3827B"/>
      <color rgb="FF007DD6"/>
      <color rgb="FF4472C4"/>
      <color rgb="FFDEA801"/>
      <color rgb="FFE1AB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a:t>
            </a:r>
            <a:r>
              <a:rPr lang="en-US" baseline="0"/>
              <a:t> of Countries per Continent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CD1F0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605-E54D-933F-E1010F240EFC}"/>
              </c:ext>
            </c:extLst>
          </c:dPt>
          <c:dPt>
            <c:idx val="1"/>
            <c:bubble3D val="0"/>
            <c:spPr>
              <a:solidFill>
                <a:srgbClr val="5E8E3F"/>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6605-E54D-933F-E1010F240EFC}"/>
              </c:ext>
            </c:extLst>
          </c:dPt>
          <c:dPt>
            <c:idx val="2"/>
            <c:bubble3D val="0"/>
            <c:spPr>
              <a:solidFill>
                <a:srgbClr val="8F6E1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605-E54D-933F-E1010F240EFC}"/>
              </c:ext>
            </c:extLst>
          </c:dPt>
          <c:dPt>
            <c:idx val="3"/>
            <c:bubble3D val="0"/>
            <c:spPr>
              <a:solidFill>
                <a:srgbClr val="D46919"/>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6605-E54D-933F-E1010F240EFC}"/>
              </c:ext>
            </c:extLst>
          </c:dPt>
          <c:dPt>
            <c:idx val="4"/>
            <c:bubble3D val="0"/>
            <c:spPr>
              <a:solidFill>
                <a:srgbClr val="F3827B"/>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6605-E54D-933F-E1010F240EFC}"/>
              </c:ext>
            </c:extLst>
          </c:dPt>
          <c:dPt>
            <c:idx val="5"/>
            <c:bubble3D val="0"/>
            <c:spPr>
              <a:solidFill>
                <a:srgbClr val="CC9F1B"/>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605-E54D-933F-E1010F240EFC}"/>
              </c:ext>
            </c:extLst>
          </c:dPt>
          <c:dLbls>
            <c:dLbl>
              <c:idx val="0"/>
              <c:layout>
                <c:manualLayout>
                  <c:x val="-0.12591942673790302"/>
                  <c:y val="0.153834472071960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05-E54D-933F-E1010F240EFC}"/>
                </c:ext>
              </c:extLst>
            </c:dLbl>
            <c:dLbl>
              <c:idx val="4"/>
              <c:layout>
                <c:manualLayout>
                  <c:x val="0.12080718359243033"/>
                  <c:y val="-7.423713417523591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4.2338413613613304E-2"/>
                      <c:h val="5.8953804099459058E-2"/>
                    </c:manualLayout>
                  </c15:layout>
                </c:ext>
                <c:ext xmlns:c16="http://schemas.microsoft.com/office/drawing/2014/chart" uri="{C3380CC4-5D6E-409C-BE32-E72D297353CC}">
                  <c16:uniqueId val="{00000006-6605-E54D-933F-E1010F240EFC}"/>
                </c:ext>
              </c:extLst>
            </c:dLbl>
            <c:dLbl>
              <c:idx val="5"/>
              <c:layout>
                <c:manualLayout>
                  <c:x val="0.13365692601731469"/>
                  <c:y val="0.1983226956971942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05-E54D-933F-E1010F240EF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CountryData!$K$3:$K$8</c:f>
              <c:strCache>
                <c:ptCount val="6"/>
                <c:pt idx="0">
                  <c:v>Europe</c:v>
                </c:pt>
                <c:pt idx="1">
                  <c:v>Africa</c:v>
                </c:pt>
                <c:pt idx="2">
                  <c:v>Oceania</c:v>
                </c:pt>
                <c:pt idx="3">
                  <c:v>N America</c:v>
                </c:pt>
                <c:pt idx="4">
                  <c:v>S America</c:v>
                </c:pt>
                <c:pt idx="5">
                  <c:v>Asia</c:v>
                </c:pt>
              </c:strCache>
            </c:strRef>
          </c:cat>
          <c:val>
            <c:numRef>
              <c:f>CountryData!$L$3:$L$8</c:f>
              <c:numCache>
                <c:formatCode>General</c:formatCode>
                <c:ptCount val="6"/>
                <c:pt idx="0">
                  <c:v>48</c:v>
                </c:pt>
                <c:pt idx="1">
                  <c:v>53</c:v>
                </c:pt>
                <c:pt idx="2">
                  <c:v>20</c:v>
                </c:pt>
                <c:pt idx="3">
                  <c:v>34</c:v>
                </c:pt>
                <c:pt idx="4">
                  <c:v>13</c:v>
                </c:pt>
                <c:pt idx="5">
                  <c:v>50</c:v>
                </c:pt>
              </c:numCache>
            </c:numRef>
          </c:val>
          <c:extLst>
            <c:ext xmlns:c16="http://schemas.microsoft.com/office/drawing/2014/chart" uri="{C3380CC4-5D6E-409C-BE32-E72D297353CC}">
              <c16:uniqueId val="{00000000-6605-E54D-933F-E1010F240EF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9.tmp"/><Relationship Id="rId2" Type="http://schemas.openxmlformats.org/officeDocument/2006/relationships/image" Target="../media/image8.tmp"/><Relationship Id="rId1" Type="http://schemas.openxmlformats.org/officeDocument/2006/relationships/image" Target="../media/image7.tmp"/><Relationship Id="rId6" Type="http://schemas.openxmlformats.org/officeDocument/2006/relationships/image" Target="../media/image12.tmp"/><Relationship Id="rId5" Type="http://schemas.openxmlformats.org/officeDocument/2006/relationships/image" Target="../media/image11.tmp"/><Relationship Id="rId4" Type="http://schemas.openxmlformats.org/officeDocument/2006/relationships/image" Target="../media/image10.tmp"/></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14</xdr:row>
      <xdr:rowOff>0</xdr:rowOff>
    </xdr:from>
    <xdr:to>
      <xdr:col>10</xdr:col>
      <xdr:colOff>304800</xdr:colOff>
      <xdr:row>15</xdr:row>
      <xdr:rowOff>120650</xdr:rowOff>
    </xdr:to>
    <xdr:sp macro="" textlink="">
      <xdr:nvSpPr>
        <xdr:cNvPr id="1025" name="AutoShape 1" descr="North America Continent Facts For Kids | DK Find Out">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9817100" y="257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16</xdr:row>
      <xdr:rowOff>0</xdr:rowOff>
    </xdr:from>
    <xdr:to>
      <xdr:col>10</xdr:col>
      <xdr:colOff>304800</xdr:colOff>
      <xdr:row>17</xdr:row>
      <xdr:rowOff>120650</xdr:rowOff>
    </xdr:to>
    <xdr:sp macro="" textlink="">
      <xdr:nvSpPr>
        <xdr:cNvPr id="1026" name="AutoShape 2" descr="North America Continent Facts For Kids | DK Find Out">
          <a:extLst>
            <a:ext uri="{FF2B5EF4-FFF2-40B4-BE49-F238E27FC236}">
              <a16:creationId xmlns:a16="http://schemas.microsoft.com/office/drawing/2014/main" id="{00000000-0008-0000-0100-000002040000}"/>
            </a:ext>
          </a:extLst>
        </xdr:cNvPr>
        <xdr:cNvSpPr>
          <a:spLocks noChangeAspect="1" noChangeArrowheads="1"/>
        </xdr:cNvSpPr>
      </xdr:nvSpPr>
      <xdr:spPr bwMode="auto">
        <a:xfrm>
          <a:off x="9817100" y="294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16</xdr:row>
      <xdr:rowOff>0</xdr:rowOff>
    </xdr:from>
    <xdr:to>
      <xdr:col>10</xdr:col>
      <xdr:colOff>304800</xdr:colOff>
      <xdr:row>17</xdr:row>
      <xdr:rowOff>120650</xdr:rowOff>
    </xdr:to>
    <xdr:sp macro="" textlink="">
      <xdr:nvSpPr>
        <xdr:cNvPr id="1027" name="AutoShape 3" descr="North America Continent Facts For Kids | DK Find Out">
          <a:extLst>
            <a:ext uri="{FF2B5EF4-FFF2-40B4-BE49-F238E27FC236}">
              <a16:creationId xmlns:a16="http://schemas.microsoft.com/office/drawing/2014/main" id="{00000000-0008-0000-0100-000003040000}"/>
            </a:ext>
          </a:extLst>
        </xdr:cNvPr>
        <xdr:cNvSpPr>
          <a:spLocks noChangeAspect="1" noChangeArrowheads="1"/>
        </xdr:cNvSpPr>
      </xdr:nvSpPr>
      <xdr:spPr bwMode="auto">
        <a:xfrm>
          <a:off x="9817100" y="294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9</xdr:col>
      <xdr:colOff>9261</xdr:colOff>
      <xdr:row>10</xdr:row>
      <xdr:rowOff>14154</xdr:rowOff>
    </xdr:from>
    <xdr:to>
      <xdr:col>12</xdr:col>
      <xdr:colOff>1607344</xdr:colOff>
      <xdr:row>24</xdr:row>
      <xdr:rowOff>191822</xdr:rowOff>
    </xdr:to>
    <xdr:graphicFrame macro="">
      <xdr:nvGraphicFramePr>
        <xdr:cNvPr id="5" name="Chart 4">
          <a:extLst>
            <a:ext uri="{FF2B5EF4-FFF2-40B4-BE49-F238E27FC236}">
              <a16:creationId xmlns:a16="http://schemas.microsoft.com/office/drawing/2014/main" id="{5B3CC73B-FAC1-8205-7970-74504B3E1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457201</xdr:colOff>
      <xdr:row>14</xdr:row>
      <xdr:rowOff>7015</xdr:rowOff>
    </xdr:from>
    <xdr:to>
      <xdr:col>11</xdr:col>
      <xdr:colOff>736601</xdr:colOff>
      <xdr:row>15</xdr:row>
      <xdr:rowOff>146131</xdr:rowOff>
    </xdr:to>
    <xdr:pic>
      <xdr:nvPicPr>
        <xdr:cNvPr id="6" name="Picture 5" descr="Screen Clipping">
          <a:extLst>
            <a:ext uri="{FF2B5EF4-FFF2-40B4-BE49-F238E27FC236}">
              <a16:creationId xmlns:a16="http://schemas.microsoft.com/office/drawing/2014/main" id="{B1EEDF1D-2BAD-6544-BCBD-717131D4B2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04701" y="2674015"/>
          <a:ext cx="279400" cy="329616"/>
        </a:xfrm>
        <a:prstGeom prst="rect">
          <a:avLst/>
        </a:prstGeom>
        <a:noFill/>
      </xdr:spPr>
    </xdr:pic>
    <xdr:clientData/>
  </xdr:twoCellAnchor>
  <xdr:twoCellAnchor editAs="oneCell">
    <xdr:from>
      <xdr:col>10</xdr:col>
      <xdr:colOff>136893</xdr:colOff>
      <xdr:row>18</xdr:row>
      <xdr:rowOff>91690</xdr:rowOff>
    </xdr:from>
    <xdr:to>
      <xdr:col>10</xdr:col>
      <xdr:colOff>397811</xdr:colOff>
      <xdr:row>20</xdr:row>
      <xdr:rowOff>22203</xdr:rowOff>
    </xdr:to>
    <xdr:pic>
      <xdr:nvPicPr>
        <xdr:cNvPr id="8" name="Picture 7" descr="Screen Clipping">
          <a:extLst>
            <a:ext uri="{FF2B5EF4-FFF2-40B4-BE49-F238E27FC236}">
              <a16:creationId xmlns:a16="http://schemas.microsoft.com/office/drawing/2014/main" id="{C4261D24-CB2E-F74F-9C35-9D97CF8291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60844" y="3528683"/>
          <a:ext cx="260918" cy="312401"/>
        </a:xfrm>
        <a:prstGeom prst="rect">
          <a:avLst/>
        </a:prstGeom>
      </xdr:spPr>
    </xdr:pic>
    <xdr:clientData/>
  </xdr:twoCellAnchor>
  <xdr:twoCellAnchor editAs="oneCell">
    <xdr:from>
      <xdr:col>10</xdr:col>
      <xdr:colOff>418196</xdr:colOff>
      <xdr:row>14</xdr:row>
      <xdr:rowOff>481</xdr:rowOff>
    </xdr:from>
    <xdr:to>
      <xdr:col>10</xdr:col>
      <xdr:colOff>763776</xdr:colOff>
      <xdr:row>16</xdr:row>
      <xdr:rowOff>33193</xdr:rowOff>
    </xdr:to>
    <xdr:pic>
      <xdr:nvPicPr>
        <xdr:cNvPr id="9" name="Picture 8" descr="Screen Clipping">
          <a:extLst>
            <a:ext uri="{FF2B5EF4-FFF2-40B4-BE49-F238E27FC236}">
              <a16:creationId xmlns:a16="http://schemas.microsoft.com/office/drawing/2014/main" id="{734063F8-F405-4140-998C-6C244366A1E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142147" y="2673698"/>
          <a:ext cx="345580" cy="414600"/>
        </a:xfrm>
        <a:prstGeom prst="rect">
          <a:avLst/>
        </a:prstGeom>
      </xdr:spPr>
    </xdr:pic>
    <xdr:clientData/>
  </xdr:twoCellAnchor>
  <xdr:twoCellAnchor editAs="oneCell">
    <xdr:from>
      <xdr:col>11</xdr:col>
      <xdr:colOff>744829</xdr:colOff>
      <xdr:row>17</xdr:row>
      <xdr:rowOff>68983</xdr:rowOff>
    </xdr:from>
    <xdr:to>
      <xdr:col>11</xdr:col>
      <xdr:colOff>1052412</xdr:colOff>
      <xdr:row>19</xdr:row>
      <xdr:rowOff>51281</xdr:rowOff>
    </xdr:to>
    <xdr:pic>
      <xdr:nvPicPr>
        <xdr:cNvPr id="10" name="Picture 9" descr="Screen Clipping">
          <a:extLst>
            <a:ext uri="{FF2B5EF4-FFF2-40B4-BE49-F238E27FC236}">
              <a16:creationId xmlns:a16="http://schemas.microsoft.com/office/drawing/2014/main" id="{F0D98D8E-6D53-5C4C-A0E4-0D1AC6B25A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498990" y="3315032"/>
          <a:ext cx="307583" cy="364186"/>
        </a:xfrm>
        <a:prstGeom prst="rect">
          <a:avLst/>
        </a:prstGeom>
      </xdr:spPr>
    </xdr:pic>
    <xdr:clientData/>
  </xdr:twoCellAnchor>
  <xdr:twoCellAnchor editAs="oneCell">
    <xdr:from>
      <xdr:col>10</xdr:col>
      <xdr:colOff>928983</xdr:colOff>
      <xdr:row>20</xdr:row>
      <xdr:rowOff>121125</xdr:rowOff>
    </xdr:from>
    <xdr:to>
      <xdr:col>11</xdr:col>
      <xdr:colOff>188639</xdr:colOff>
      <xdr:row>22</xdr:row>
      <xdr:rowOff>102132</xdr:rowOff>
    </xdr:to>
    <xdr:pic>
      <xdr:nvPicPr>
        <xdr:cNvPr id="11" name="Picture 10" descr="Screen Clipping">
          <a:extLst>
            <a:ext uri="{FF2B5EF4-FFF2-40B4-BE49-F238E27FC236}">
              <a16:creationId xmlns:a16="http://schemas.microsoft.com/office/drawing/2014/main" id="{D1595AE8-6DC8-DA47-8017-AC614E65D0F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52934" y="3940006"/>
          <a:ext cx="289866" cy="362895"/>
        </a:xfrm>
        <a:prstGeom prst="rect">
          <a:avLst/>
        </a:prstGeom>
      </xdr:spPr>
    </xdr:pic>
    <xdr:clientData/>
  </xdr:twoCellAnchor>
  <xdr:twoCellAnchor editAs="oneCell">
    <xdr:from>
      <xdr:col>9</xdr:col>
      <xdr:colOff>1000638</xdr:colOff>
      <xdr:row>16</xdr:row>
      <xdr:rowOff>174922</xdr:rowOff>
    </xdr:from>
    <xdr:to>
      <xdr:col>10</xdr:col>
      <xdr:colOff>127589</xdr:colOff>
      <xdr:row>18</xdr:row>
      <xdr:rowOff>71050</xdr:rowOff>
    </xdr:to>
    <xdr:pic>
      <xdr:nvPicPr>
        <xdr:cNvPr id="12" name="Picture 11" descr="Screen Clipping">
          <a:extLst>
            <a:ext uri="{FF2B5EF4-FFF2-40B4-BE49-F238E27FC236}">
              <a16:creationId xmlns:a16="http://schemas.microsoft.com/office/drawing/2014/main" id="{450E3F90-8251-D34E-A27C-5CA4369160E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618890" y="3230027"/>
          <a:ext cx="232650" cy="2780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3</xdr:col>
      <xdr:colOff>50865</xdr:colOff>
      <xdr:row>22</xdr:row>
      <xdr:rowOff>133433</xdr:rowOff>
    </xdr:to>
    <xdr:pic>
      <xdr:nvPicPr>
        <xdr:cNvPr id="3" name="Picture 2" descr="Screen Clippi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578100"/>
          <a:ext cx="1270065" cy="1606633"/>
        </a:xfrm>
        <a:prstGeom prst="rect">
          <a:avLst/>
        </a:prstGeom>
      </xdr:spPr>
    </xdr:pic>
    <xdr:clientData/>
  </xdr:twoCellAnchor>
  <xdr:twoCellAnchor editAs="oneCell">
    <xdr:from>
      <xdr:col>4</xdr:col>
      <xdr:colOff>0</xdr:colOff>
      <xdr:row>3</xdr:row>
      <xdr:rowOff>0</xdr:rowOff>
    </xdr:from>
    <xdr:to>
      <xdr:col>6</xdr:col>
      <xdr:colOff>63566</xdr:colOff>
      <xdr:row>11</xdr:row>
      <xdr:rowOff>158834</xdr:rowOff>
    </xdr:to>
    <xdr:pic>
      <xdr:nvPicPr>
        <xdr:cNvPr id="4" name="Picture 3" descr="Screen Clippi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8400" y="552450"/>
          <a:ext cx="1282766" cy="1632034"/>
        </a:xfrm>
        <a:prstGeom prst="rect">
          <a:avLst/>
        </a:prstGeom>
      </xdr:spPr>
    </xdr:pic>
    <xdr:clientData/>
  </xdr:twoCellAnchor>
  <xdr:twoCellAnchor editAs="oneCell">
    <xdr:from>
      <xdr:col>7</xdr:col>
      <xdr:colOff>0</xdr:colOff>
      <xdr:row>3</xdr:row>
      <xdr:rowOff>0</xdr:rowOff>
    </xdr:from>
    <xdr:to>
      <xdr:col>9</xdr:col>
      <xdr:colOff>31814</xdr:colOff>
      <xdr:row>11</xdr:row>
      <xdr:rowOff>101681</xdr:rowOff>
    </xdr:to>
    <xdr:pic>
      <xdr:nvPicPr>
        <xdr:cNvPr id="5" name="Picture 4" descr="Screen Clippin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267200" y="552450"/>
          <a:ext cx="1251014" cy="1574881"/>
        </a:xfrm>
        <a:prstGeom prst="rect">
          <a:avLst/>
        </a:prstGeom>
      </xdr:spPr>
    </xdr:pic>
    <xdr:clientData/>
  </xdr:twoCellAnchor>
  <xdr:twoCellAnchor editAs="oneCell">
    <xdr:from>
      <xdr:col>4</xdr:col>
      <xdr:colOff>0</xdr:colOff>
      <xdr:row>14</xdr:row>
      <xdr:rowOff>0</xdr:rowOff>
    </xdr:from>
    <xdr:to>
      <xdr:col>6</xdr:col>
      <xdr:colOff>50865</xdr:colOff>
      <xdr:row>22</xdr:row>
      <xdr:rowOff>165184</xdr:rowOff>
    </xdr:to>
    <xdr:pic>
      <xdr:nvPicPr>
        <xdr:cNvPr id="6" name="Picture 5" descr="Screen Clippin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38400" y="2578100"/>
          <a:ext cx="1270065" cy="1638384"/>
        </a:xfrm>
        <a:prstGeom prst="rect">
          <a:avLst/>
        </a:prstGeom>
      </xdr:spPr>
    </xdr:pic>
    <xdr:clientData/>
  </xdr:twoCellAnchor>
  <xdr:twoCellAnchor editAs="oneCell">
    <xdr:from>
      <xdr:col>7</xdr:col>
      <xdr:colOff>0</xdr:colOff>
      <xdr:row>14</xdr:row>
      <xdr:rowOff>0</xdr:rowOff>
    </xdr:from>
    <xdr:to>
      <xdr:col>9</xdr:col>
      <xdr:colOff>57216</xdr:colOff>
      <xdr:row>22</xdr:row>
      <xdr:rowOff>158834</xdr:rowOff>
    </xdr:to>
    <xdr:pic>
      <xdr:nvPicPr>
        <xdr:cNvPr id="7" name="Picture 6" descr="Screen Clippin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67200" y="2578100"/>
          <a:ext cx="1276416" cy="1632034"/>
        </a:xfrm>
        <a:prstGeom prst="rect">
          <a:avLst/>
        </a:prstGeom>
      </xdr:spPr>
    </xdr:pic>
    <xdr:clientData/>
  </xdr:twoCellAnchor>
  <xdr:twoCellAnchor editAs="oneCell">
    <xdr:from>
      <xdr:col>1</xdr:col>
      <xdr:colOff>101600</xdr:colOff>
      <xdr:row>3</xdr:row>
      <xdr:rowOff>44450</xdr:rowOff>
    </xdr:from>
    <xdr:to>
      <xdr:col>3</xdr:col>
      <xdr:colOff>25459</xdr:colOff>
      <xdr:row>11</xdr:row>
      <xdr:rowOff>127080</xdr:rowOff>
    </xdr:to>
    <xdr:pic>
      <xdr:nvPicPr>
        <xdr:cNvPr id="9" name="Picture 8" descr="Screen Clippin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11200" y="596900"/>
          <a:ext cx="1143059" cy="15558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heetViews>
  <sheetFormatPr baseColWidth="10" defaultColWidth="8.83203125" defaultRowHeight="15" x14ac:dyDescent="0.2"/>
  <cols>
    <col min="1" max="1" width="17.5" bestFit="1" customWidth="1"/>
    <col min="2" max="2" width="69.83203125" customWidth="1"/>
    <col min="3" max="3" width="84.1640625" customWidth="1"/>
  </cols>
  <sheetData>
    <row r="1" spans="1:3" ht="19" x14ac:dyDescent="0.25">
      <c r="A1" s="11" t="s">
        <v>439</v>
      </c>
      <c r="B1" s="11" t="s">
        <v>440</v>
      </c>
      <c r="C1" s="11" t="s">
        <v>441</v>
      </c>
    </row>
    <row r="2" spans="1:3" ht="91" customHeight="1" x14ac:dyDescent="0.2">
      <c r="A2" s="10" t="s">
        <v>442</v>
      </c>
      <c r="B2" s="10" t="s">
        <v>443</v>
      </c>
      <c r="C2" s="10" t="s">
        <v>444</v>
      </c>
    </row>
    <row r="3" spans="1:3" ht="91" customHeight="1" x14ac:dyDescent="0.2">
      <c r="A3" s="10" t="s">
        <v>445</v>
      </c>
      <c r="B3" s="10" t="s">
        <v>446</v>
      </c>
      <c r="C3" s="10" t="s">
        <v>447</v>
      </c>
    </row>
    <row r="4" spans="1:3" ht="130.5" customHeight="1" x14ac:dyDescent="0.2">
      <c r="A4" s="10" t="s">
        <v>448</v>
      </c>
      <c r="B4" s="10" t="s">
        <v>449</v>
      </c>
      <c r="C4" s="10" t="s">
        <v>450</v>
      </c>
    </row>
    <row r="5" spans="1:3" ht="91" customHeight="1" x14ac:dyDescent="0.2">
      <c r="A5" s="10" t="s">
        <v>0</v>
      </c>
      <c r="B5" s="10" t="s">
        <v>451</v>
      </c>
      <c r="C5" s="10" t="s">
        <v>452</v>
      </c>
    </row>
    <row r="6" spans="1:3" ht="91" customHeight="1" x14ac:dyDescent="0.2">
      <c r="A6" s="10" t="s">
        <v>455</v>
      </c>
      <c r="B6" s="10" t="s">
        <v>462</v>
      </c>
      <c r="C6" s="10"/>
    </row>
    <row r="7" spans="1:3" ht="91" customHeight="1" x14ac:dyDescent="0.2">
      <c r="A7" s="10"/>
      <c r="B7" s="10"/>
      <c r="C7" s="10"/>
    </row>
    <row r="8" spans="1:3" ht="91" customHeight="1" x14ac:dyDescent="0.2">
      <c r="A8" s="10"/>
      <c r="B8" s="10"/>
      <c r="C8"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19"/>
  <sheetViews>
    <sheetView tabSelected="1" topLeftCell="G5" zoomScale="174" workbookViewId="0">
      <selection activeCell="N20" sqref="N20"/>
    </sheetView>
  </sheetViews>
  <sheetFormatPr baseColWidth="10" defaultColWidth="8.83203125" defaultRowHeight="15" x14ac:dyDescent="0.2"/>
  <cols>
    <col min="1" max="1" width="26.6640625" bestFit="1" customWidth="1"/>
    <col min="2" max="2" width="12.33203125" bestFit="1" customWidth="1"/>
    <col min="3" max="3" width="12.83203125" customWidth="1"/>
    <col min="4" max="4" width="9.83203125" bestFit="1" customWidth="1"/>
    <col min="5" max="5" width="16.5" customWidth="1"/>
    <col min="6" max="6" width="15.1640625" customWidth="1"/>
    <col min="7" max="7" width="14.83203125" customWidth="1"/>
    <col min="8" max="8" width="9.1640625" bestFit="1" customWidth="1"/>
    <col min="10" max="10" width="14.5" bestFit="1" customWidth="1"/>
    <col min="11" max="11" width="13.5" customWidth="1"/>
    <col min="12" max="12" width="18.5" bestFit="1" customWidth="1"/>
    <col min="13" max="13" width="21.1640625" bestFit="1" customWidth="1"/>
    <col min="14" max="14" width="17.6640625" bestFit="1" customWidth="1"/>
    <col min="15" max="15" width="16.5" customWidth="1"/>
  </cols>
  <sheetData>
    <row r="1" spans="1:15" x14ac:dyDescent="0.2">
      <c r="A1" s="4" t="s">
        <v>437</v>
      </c>
      <c r="B1" s="5" t="s">
        <v>438</v>
      </c>
      <c r="C1" s="5" t="s">
        <v>0</v>
      </c>
      <c r="D1" s="5" t="s">
        <v>455</v>
      </c>
      <c r="E1" s="6" t="s">
        <v>218</v>
      </c>
      <c r="F1" s="6" t="s">
        <v>219</v>
      </c>
      <c r="G1" s="6" t="s">
        <v>463</v>
      </c>
    </row>
    <row r="2" spans="1:15" x14ac:dyDescent="0.2">
      <c r="A2" t="s">
        <v>1</v>
      </c>
      <c r="B2" s="1" t="s">
        <v>220</v>
      </c>
      <c r="C2" s="1">
        <v>1</v>
      </c>
      <c r="D2" s="1" t="s">
        <v>456</v>
      </c>
      <c r="E2" s="2">
        <v>33736494</v>
      </c>
      <c r="F2" s="2">
        <v>652860</v>
      </c>
      <c r="G2" s="3">
        <v>19215.5621790117</v>
      </c>
      <c r="H2" s="8"/>
      <c r="J2" s="5" t="s">
        <v>469</v>
      </c>
      <c r="K2" s="15" t="s">
        <v>455</v>
      </c>
      <c r="L2" s="15" t="s">
        <v>468</v>
      </c>
      <c r="M2" s="15" t="s">
        <v>470</v>
      </c>
      <c r="N2" s="5" t="s">
        <v>472</v>
      </c>
      <c r="O2" s="5" t="s">
        <v>471</v>
      </c>
    </row>
    <row r="3" spans="1:15" x14ac:dyDescent="0.2">
      <c r="A3" t="s">
        <v>2</v>
      </c>
      <c r="B3" s="1" t="s">
        <v>221</v>
      </c>
      <c r="C3" s="1">
        <v>1</v>
      </c>
      <c r="D3" s="1" t="s">
        <v>457</v>
      </c>
      <c r="E3" s="2">
        <v>2880703</v>
      </c>
      <c r="F3" s="2">
        <v>28750</v>
      </c>
      <c r="G3" s="3">
        <v>11335.264966561001</v>
      </c>
      <c r="H3" s="8"/>
      <c r="J3" s="1" t="s">
        <v>457</v>
      </c>
      <c r="K3" t="s">
        <v>464</v>
      </c>
      <c r="L3" s="1">
        <f>COUNTIF(D$2:D$219,J3)</f>
        <v>48</v>
      </c>
      <c r="M3" s="17">
        <f>N3/O3*1000</f>
        <v>25.727634952958283</v>
      </c>
      <c r="N3" s="8">
        <f>SUMIF($D$2:$D$219,$J3,G$2:G$219)</f>
        <v>19133892.007033374</v>
      </c>
      <c r="O3" s="8">
        <f>SUMIF($D$2:$D$219,$J3,E$2:E$219)</f>
        <v>743709713</v>
      </c>
    </row>
    <row r="4" spans="1:15" x14ac:dyDescent="0.2">
      <c r="A4" t="s">
        <v>3</v>
      </c>
      <c r="B4" s="1" t="s">
        <v>222</v>
      </c>
      <c r="C4" s="1">
        <v>1</v>
      </c>
      <c r="D4" s="1" t="s">
        <v>458</v>
      </c>
      <c r="E4" s="2">
        <v>39871528</v>
      </c>
      <c r="F4" s="2">
        <v>2381740</v>
      </c>
      <c r="G4" s="3">
        <v>165874.33087632101</v>
      </c>
      <c r="H4" s="8"/>
      <c r="J4" s="8" t="s">
        <v>458</v>
      </c>
      <c r="K4" t="s">
        <v>465</v>
      </c>
      <c r="L4" s="1">
        <f>COUNTIF(D$2:D$219,J4)</f>
        <v>53</v>
      </c>
      <c r="M4" s="17">
        <f t="shared" ref="M4:M8" si="0">N4/O4*1000</f>
        <v>1.9519458662802707</v>
      </c>
      <c r="N4" s="8">
        <f t="shared" ref="N4:N8" si="1">SUMIF($D$2:$D$219,$J4,G$2:G$219)</f>
        <v>2327644.895376462</v>
      </c>
      <c r="O4" s="8">
        <f t="shared" ref="O4:O8" si="2">SUMIF($D$2:$D$219,$J4,E$2:E$219)</f>
        <v>1192474102.6820292</v>
      </c>
    </row>
    <row r="5" spans="1:15" x14ac:dyDescent="0.2">
      <c r="A5" t="s">
        <v>4</v>
      </c>
      <c r="B5" s="1" t="s">
        <v>223</v>
      </c>
      <c r="C5" s="1">
        <v>0</v>
      </c>
      <c r="D5" s="1" t="s">
        <v>459</v>
      </c>
      <c r="E5" s="2">
        <v>55537</v>
      </c>
      <c r="F5" s="2">
        <v>200</v>
      </c>
      <c r="G5" s="3">
        <v>659</v>
      </c>
      <c r="H5" s="8"/>
      <c r="J5" s="13" t="s">
        <v>459</v>
      </c>
      <c r="K5" t="s">
        <v>466</v>
      </c>
      <c r="L5" s="1">
        <f>COUNTIF(D$2:D$219,J5)</f>
        <v>20</v>
      </c>
      <c r="M5" s="17">
        <f t="shared" si="0"/>
        <v>39.645250575724916</v>
      </c>
      <c r="N5" s="8">
        <f t="shared" si="1"/>
        <v>1565502.0605835861</v>
      </c>
      <c r="O5" s="8">
        <f t="shared" si="2"/>
        <v>39487758</v>
      </c>
    </row>
    <row r="6" spans="1:15" x14ac:dyDescent="0.2">
      <c r="A6" t="s">
        <v>5</v>
      </c>
      <c r="B6" s="1" t="s">
        <v>224</v>
      </c>
      <c r="C6" s="1">
        <v>1</v>
      </c>
      <c r="D6" s="1" t="s">
        <v>457</v>
      </c>
      <c r="E6" s="2">
        <v>78014</v>
      </c>
      <c r="F6" s="2">
        <v>470</v>
      </c>
      <c r="G6" s="3">
        <v>2811.4894088943101</v>
      </c>
      <c r="H6" s="8"/>
      <c r="J6" s="1" t="s">
        <v>460</v>
      </c>
      <c r="K6" t="s">
        <v>473</v>
      </c>
      <c r="L6" s="1">
        <f>COUNTIF(D$2:D$219,J6)</f>
        <v>34</v>
      </c>
      <c r="M6" s="17">
        <f t="shared" si="0"/>
        <v>37.435266354317577</v>
      </c>
      <c r="N6" s="8">
        <f t="shared" si="1"/>
        <v>21404009.565763839</v>
      </c>
      <c r="O6" s="8">
        <f t="shared" si="2"/>
        <v>571760579</v>
      </c>
    </row>
    <row r="7" spans="1:15" x14ac:dyDescent="0.2">
      <c r="A7" t="s">
        <v>6</v>
      </c>
      <c r="B7" s="1" t="s">
        <v>225</v>
      </c>
      <c r="C7" s="1">
        <v>1</v>
      </c>
      <c r="D7" s="1" t="s">
        <v>458</v>
      </c>
      <c r="E7" s="2">
        <v>27859305</v>
      </c>
      <c r="F7" s="2">
        <v>1246700</v>
      </c>
      <c r="G7" s="3">
        <v>102962.24524670799</v>
      </c>
      <c r="H7" s="8"/>
      <c r="J7" s="14" t="s">
        <v>461</v>
      </c>
      <c r="K7" t="s">
        <v>474</v>
      </c>
      <c r="L7" s="1">
        <f>COUNTIF(D$2:D$219,J7)</f>
        <v>13</v>
      </c>
      <c r="M7" s="17">
        <f t="shared" si="0"/>
        <v>8.5580996192305552</v>
      </c>
      <c r="N7" s="8">
        <f t="shared" si="1"/>
        <v>3566901.9359664666</v>
      </c>
      <c r="O7" s="8">
        <f t="shared" si="2"/>
        <v>416786681</v>
      </c>
    </row>
    <row r="8" spans="1:15" x14ac:dyDescent="0.2">
      <c r="A8" t="s">
        <v>453</v>
      </c>
      <c r="B8" s="1" t="s">
        <v>454</v>
      </c>
      <c r="C8" s="1">
        <v>0</v>
      </c>
      <c r="D8" s="1" t="s">
        <v>459</v>
      </c>
      <c r="E8" s="2">
        <v>1100</v>
      </c>
      <c r="F8" s="2">
        <v>14000000</v>
      </c>
      <c r="G8" s="2">
        <v>27.5</v>
      </c>
      <c r="H8" s="7"/>
      <c r="J8" s="1" t="s">
        <v>456</v>
      </c>
      <c r="K8" s="12" t="s">
        <v>467</v>
      </c>
      <c r="L8" s="1">
        <f>COUNTIF(D$2:D$219,J8)</f>
        <v>50</v>
      </c>
      <c r="M8" s="17">
        <f t="shared" si="0"/>
        <v>5.9593529067765356</v>
      </c>
      <c r="N8" s="8">
        <f t="shared" si="1"/>
        <v>26028357.872472182</v>
      </c>
      <c r="O8" s="8">
        <f t="shared" si="2"/>
        <v>4367648347</v>
      </c>
    </row>
    <row r="9" spans="1:15" x14ac:dyDescent="0.2">
      <c r="A9" t="s">
        <v>7</v>
      </c>
      <c r="B9" s="1" t="s">
        <v>226</v>
      </c>
      <c r="C9" s="1">
        <v>1</v>
      </c>
      <c r="D9" s="1" t="s">
        <v>460</v>
      </c>
      <c r="E9" s="2">
        <v>99923</v>
      </c>
      <c r="F9" s="2">
        <v>440</v>
      </c>
      <c r="G9" s="3">
        <v>1364.8630370370399</v>
      </c>
      <c r="H9" s="8"/>
      <c r="L9" s="1"/>
      <c r="M9" s="1"/>
      <c r="N9" s="1"/>
      <c r="O9" s="1"/>
    </row>
    <row r="10" spans="1:15" x14ac:dyDescent="0.2">
      <c r="A10" t="s">
        <v>8</v>
      </c>
      <c r="B10" s="1" t="s">
        <v>227</v>
      </c>
      <c r="C10" s="1">
        <v>1</v>
      </c>
      <c r="D10" s="1" t="s">
        <v>461</v>
      </c>
      <c r="E10" s="2">
        <v>43417765</v>
      </c>
      <c r="F10" s="2">
        <v>2780400</v>
      </c>
      <c r="G10" s="3">
        <v>584711.48536726693</v>
      </c>
      <c r="H10" s="8"/>
      <c r="K10" t="s">
        <v>475</v>
      </c>
      <c r="L10" s="1">
        <f>SUM(L3:L8)</f>
        <v>218</v>
      </c>
      <c r="M10" s="16"/>
      <c r="N10" s="16"/>
    </row>
    <row r="11" spans="1:15" x14ac:dyDescent="0.2">
      <c r="A11" t="s">
        <v>9</v>
      </c>
      <c r="B11" s="1" t="s">
        <v>228</v>
      </c>
      <c r="C11" s="1">
        <v>1</v>
      </c>
      <c r="D11" s="1" t="s">
        <v>456</v>
      </c>
      <c r="E11" s="2">
        <v>2916950</v>
      </c>
      <c r="F11" s="2">
        <v>29740</v>
      </c>
      <c r="G11" s="3">
        <v>10553.3376729872</v>
      </c>
      <c r="H11" s="8"/>
      <c r="L11" s="1"/>
    </row>
    <row r="12" spans="1:15" x14ac:dyDescent="0.2">
      <c r="A12" t="s">
        <v>10</v>
      </c>
      <c r="B12" s="1" t="s">
        <v>229</v>
      </c>
      <c r="C12" s="1">
        <v>1</v>
      </c>
      <c r="D12" s="1" t="s">
        <v>460</v>
      </c>
      <c r="E12" s="2">
        <v>104341</v>
      </c>
      <c r="F12" s="2">
        <v>180</v>
      </c>
      <c r="G12" s="3">
        <v>2623.7262569832401</v>
      </c>
      <c r="H12" s="8"/>
    </row>
    <row r="13" spans="1:15" x14ac:dyDescent="0.2">
      <c r="A13" t="s">
        <v>11</v>
      </c>
      <c r="B13" s="1" t="s">
        <v>230</v>
      </c>
      <c r="C13" s="1">
        <v>1</v>
      </c>
      <c r="D13" s="1" t="s">
        <v>459</v>
      </c>
      <c r="E13" s="2">
        <v>23789338</v>
      </c>
      <c r="F13" s="2">
        <v>7741220</v>
      </c>
      <c r="G13" s="3">
        <v>1345383.14335635</v>
      </c>
      <c r="H13" s="7"/>
    </row>
    <row r="14" spans="1:15" x14ac:dyDescent="0.2">
      <c r="A14" t="s">
        <v>12</v>
      </c>
      <c r="B14" s="1" t="s">
        <v>231</v>
      </c>
      <c r="C14" s="1">
        <v>1</v>
      </c>
      <c r="D14" s="1" t="s">
        <v>457</v>
      </c>
      <c r="E14" s="2">
        <v>8633169</v>
      </c>
      <c r="F14" s="2">
        <v>83879</v>
      </c>
      <c r="G14" s="3">
        <v>382065.93030797801</v>
      </c>
      <c r="H14" s="8"/>
    </row>
    <row r="15" spans="1:15" x14ac:dyDescent="0.2">
      <c r="A15" t="s">
        <v>13</v>
      </c>
      <c r="B15" s="1" t="s">
        <v>232</v>
      </c>
      <c r="C15" s="1">
        <v>1</v>
      </c>
      <c r="D15" s="1" t="s">
        <v>456</v>
      </c>
      <c r="E15" s="2">
        <v>9649341</v>
      </c>
      <c r="F15" s="2">
        <v>86600</v>
      </c>
      <c r="G15" s="3">
        <v>53074.370486043299</v>
      </c>
      <c r="H15" s="8"/>
    </row>
    <row r="16" spans="1:15" x14ac:dyDescent="0.2">
      <c r="A16" t="s">
        <v>14</v>
      </c>
      <c r="B16" s="1" t="s">
        <v>233</v>
      </c>
      <c r="C16" s="1">
        <v>1</v>
      </c>
      <c r="D16" s="1" t="s">
        <v>460</v>
      </c>
      <c r="E16" s="2">
        <v>386838</v>
      </c>
      <c r="F16" s="2">
        <v>13880</v>
      </c>
      <c r="G16" s="3">
        <v>11240</v>
      </c>
      <c r="H16" s="8"/>
    </row>
    <row r="17" spans="1:13" x14ac:dyDescent="0.2">
      <c r="A17" t="s">
        <v>15</v>
      </c>
      <c r="B17" s="1" t="s">
        <v>234</v>
      </c>
      <c r="C17" s="1">
        <v>1</v>
      </c>
      <c r="D17" s="1" t="s">
        <v>456</v>
      </c>
      <c r="E17" s="2">
        <v>1371855</v>
      </c>
      <c r="F17" s="2">
        <v>771</v>
      </c>
      <c r="G17" s="3">
        <v>31125.851063829799</v>
      </c>
      <c r="H17" s="8"/>
    </row>
    <row r="18" spans="1:13" x14ac:dyDescent="0.2">
      <c r="A18" t="s">
        <v>16</v>
      </c>
      <c r="B18" s="1" t="s">
        <v>235</v>
      </c>
      <c r="C18" s="1">
        <v>1</v>
      </c>
      <c r="D18" s="1" t="s">
        <v>456</v>
      </c>
      <c r="E18" s="2">
        <v>161200886</v>
      </c>
      <c r="F18" s="2">
        <v>147630</v>
      </c>
      <c r="G18" s="3">
        <v>195078.66582756501</v>
      </c>
      <c r="H18" s="8"/>
    </row>
    <row r="19" spans="1:13" x14ac:dyDescent="0.2">
      <c r="A19" t="s">
        <v>17</v>
      </c>
      <c r="B19" s="1" t="s">
        <v>236</v>
      </c>
      <c r="C19" s="1">
        <v>1</v>
      </c>
      <c r="D19" s="1" t="s">
        <v>460</v>
      </c>
      <c r="E19" s="2">
        <v>284217</v>
      </c>
      <c r="F19" s="2">
        <v>430</v>
      </c>
      <c r="G19" s="3">
        <v>4584.1499999999996</v>
      </c>
      <c r="H19" s="8"/>
    </row>
    <row r="20" spans="1:13" x14ac:dyDescent="0.2">
      <c r="A20" t="s">
        <v>18</v>
      </c>
      <c r="B20" s="1" t="s">
        <v>237</v>
      </c>
      <c r="C20" s="1">
        <v>1</v>
      </c>
      <c r="D20" s="1" t="s">
        <v>457</v>
      </c>
      <c r="E20" s="2">
        <v>9489616</v>
      </c>
      <c r="F20" s="2">
        <v>207600</v>
      </c>
      <c r="G20" s="3">
        <v>56454.734396584201</v>
      </c>
      <c r="H20" s="8"/>
    </row>
    <row r="21" spans="1:13" x14ac:dyDescent="0.2">
      <c r="A21" t="s">
        <v>19</v>
      </c>
      <c r="B21" s="1" t="s">
        <v>238</v>
      </c>
      <c r="C21" s="1">
        <v>1</v>
      </c>
      <c r="D21" s="1" t="s">
        <v>457</v>
      </c>
      <c r="E21" s="2">
        <v>11274196</v>
      </c>
      <c r="F21" s="2">
        <v>30530</v>
      </c>
      <c r="G21" s="3">
        <v>455200.04509564303</v>
      </c>
      <c r="H21" s="8"/>
    </row>
    <row r="22" spans="1:13" x14ac:dyDescent="0.2">
      <c r="A22" t="s">
        <v>20</v>
      </c>
      <c r="B22" s="1" t="s">
        <v>239</v>
      </c>
      <c r="C22" s="1">
        <v>1</v>
      </c>
      <c r="D22" s="1" t="s">
        <v>460</v>
      </c>
      <c r="E22" s="2">
        <v>359288</v>
      </c>
      <c r="F22" s="2">
        <v>22970</v>
      </c>
      <c r="G22" s="3">
        <v>1742.5459000000001</v>
      </c>
      <c r="H22" s="8"/>
    </row>
    <row r="23" spans="1:13" x14ac:dyDescent="0.2">
      <c r="A23" t="s">
        <v>21</v>
      </c>
      <c r="B23" s="1" t="s">
        <v>240</v>
      </c>
      <c r="C23" s="1">
        <v>1</v>
      </c>
      <c r="D23" s="1" t="s">
        <v>458</v>
      </c>
      <c r="E23" s="2">
        <v>10575952</v>
      </c>
      <c r="F23" s="2">
        <v>114760</v>
      </c>
      <c r="G23" s="3">
        <v>8290.9868044524501</v>
      </c>
      <c r="H23" s="8"/>
    </row>
    <row r="24" spans="1:13" x14ac:dyDescent="0.2">
      <c r="A24" t="s">
        <v>22</v>
      </c>
      <c r="B24" s="1" t="s">
        <v>241</v>
      </c>
      <c r="C24" s="1">
        <v>1</v>
      </c>
      <c r="D24" s="1" t="s">
        <v>460</v>
      </c>
      <c r="E24" s="2">
        <v>65235</v>
      </c>
      <c r="F24" s="2">
        <v>50</v>
      </c>
      <c r="G24" s="3">
        <v>5895.0479999999998</v>
      </c>
      <c r="H24" s="8"/>
    </row>
    <row r="25" spans="1:13" x14ac:dyDescent="0.2">
      <c r="A25" t="s">
        <v>23</v>
      </c>
      <c r="B25" s="1" t="s">
        <v>242</v>
      </c>
      <c r="C25" s="1">
        <v>1</v>
      </c>
      <c r="D25" s="1" t="s">
        <v>456</v>
      </c>
      <c r="E25" s="2">
        <v>787386</v>
      </c>
      <c r="F25" s="2">
        <v>38394</v>
      </c>
      <c r="G25" s="3">
        <v>2059.2586529466803</v>
      </c>
      <c r="H25" s="8"/>
    </row>
    <row r="26" spans="1:13" x14ac:dyDescent="0.2">
      <c r="A26" t="s">
        <v>24</v>
      </c>
      <c r="B26" s="1" t="s">
        <v>243</v>
      </c>
      <c r="C26" s="1">
        <v>1</v>
      </c>
      <c r="D26" s="1" t="s">
        <v>461</v>
      </c>
      <c r="E26" s="2">
        <v>10724705</v>
      </c>
      <c r="F26" s="2">
        <v>1098580</v>
      </c>
      <c r="G26" s="3">
        <v>33000.198263386395</v>
      </c>
      <c r="H26" s="8"/>
    </row>
    <row r="27" spans="1:13" x14ac:dyDescent="0.2">
      <c r="A27" t="s">
        <v>25</v>
      </c>
      <c r="B27" s="1" t="s">
        <v>244</v>
      </c>
      <c r="C27" s="1">
        <v>1</v>
      </c>
      <c r="D27" s="1" t="s">
        <v>457</v>
      </c>
      <c r="E27" s="2">
        <v>3535961</v>
      </c>
      <c r="F27" s="2">
        <v>51210</v>
      </c>
      <c r="G27" s="3">
        <v>16209.702863623501</v>
      </c>
      <c r="H27" s="8"/>
    </row>
    <row r="28" spans="1:13" x14ac:dyDescent="0.2">
      <c r="A28" t="s">
        <v>26</v>
      </c>
      <c r="B28" s="1" t="s">
        <v>245</v>
      </c>
      <c r="C28" s="1">
        <v>1</v>
      </c>
      <c r="D28" s="1" t="s">
        <v>458</v>
      </c>
      <c r="E28" s="2">
        <v>2209197</v>
      </c>
      <c r="F28" s="2">
        <v>581730</v>
      </c>
      <c r="G28" s="3">
        <v>14430.5735053797</v>
      </c>
      <c r="H28" s="8"/>
    </row>
    <row r="29" spans="1:13" x14ac:dyDescent="0.2">
      <c r="A29" t="s">
        <v>27</v>
      </c>
      <c r="B29" s="1" t="s">
        <v>246</v>
      </c>
      <c r="C29" s="1">
        <v>1</v>
      </c>
      <c r="D29" s="1" t="s">
        <v>461</v>
      </c>
      <c r="E29" s="2">
        <v>205962108</v>
      </c>
      <c r="F29" s="2">
        <v>8515770</v>
      </c>
      <c r="G29" s="3">
        <v>1803652.6496137499</v>
      </c>
      <c r="H29" s="8"/>
      <c r="K29" s="9"/>
    </row>
    <row r="30" spans="1:13" x14ac:dyDescent="0.2">
      <c r="A30" t="s">
        <v>28</v>
      </c>
      <c r="B30" s="1" t="s">
        <v>247</v>
      </c>
      <c r="C30" s="1">
        <v>0</v>
      </c>
      <c r="D30" s="1" t="s">
        <v>460</v>
      </c>
      <c r="E30" s="2">
        <v>30113</v>
      </c>
      <c r="F30" s="2">
        <v>150</v>
      </c>
      <c r="G30" s="3">
        <v>1348.1631651962834</v>
      </c>
      <c r="H30" s="8"/>
    </row>
    <row r="31" spans="1:13" x14ac:dyDescent="0.2">
      <c r="A31" t="s">
        <v>29</v>
      </c>
      <c r="B31" s="1" t="s">
        <v>248</v>
      </c>
      <c r="C31" s="1">
        <v>1</v>
      </c>
      <c r="D31" s="1" t="s">
        <v>456</v>
      </c>
      <c r="E31" s="2">
        <v>417542</v>
      </c>
      <c r="F31" s="2">
        <v>5770</v>
      </c>
      <c r="G31" s="3">
        <v>12930.3949378137</v>
      </c>
      <c r="H31" s="8"/>
      <c r="M31" s="18"/>
    </row>
    <row r="32" spans="1:13" x14ac:dyDescent="0.2">
      <c r="A32" t="s">
        <v>30</v>
      </c>
      <c r="B32" s="1" t="s">
        <v>249</v>
      </c>
      <c r="C32" s="1">
        <v>1</v>
      </c>
      <c r="D32" s="1" t="s">
        <v>457</v>
      </c>
      <c r="E32" s="2">
        <v>7177991</v>
      </c>
      <c r="F32" s="2">
        <v>111000</v>
      </c>
      <c r="G32" s="3">
        <v>50199.117547041496</v>
      </c>
      <c r="H32" s="8"/>
    </row>
    <row r="33" spans="1:8" x14ac:dyDescent="0.2">
      <c r="A33" t="s">
        <v>31</v>
      </c>
      <c r="B33" s="1" t="s">
        <v>250</v>
      </c>
      <c r="C33" s="1">
        <v>1</v>
      </c>
      <c r="D33" s="1" t="s">
        <v>458</v>
      </c>
      <c r="E33" s="2">
        <v>18110624</v>
      </c>
      <c r="F33" s="2">
        <v>274220</v>
      </c>
      <c r="G33" s="3">
        <v>10419.303761352399</v>
      </c>
      <c r="H33" s="8"/>
    </row>
    <row r="34" spans="1:8" x14ac:dyDescent="0.2">
      <c r="A34" t="s">
        <v>32</v>
      </c>
      <c r="B34" s="1" t="s">
        <v>251</v>
      </c>
      <c r="C34" s="1">
        <v>1</v>
      </c>
      <c r="D34" s="1" t="s">
        <v>458</v>
      </c>
      <c r="E34" s="2">
        <v>10199270</v>
      </c>
      <c r="F34" s="2">
        <v>27830</v>
      </c>
      <c r="G34" s="3">
        <v>3066.6813867384099</v>
      </c>
      <c r="H34" s="8"/>
    </row>
    <row r="35" spans="1:8" x14ac:dyDescent="0.2">
      <c r="A35" t="s">
        <v>33</v>
      </c>
      <c r="B35" s="1" t="s">
        <v>252</v>
      </c>
      <c r="C35" s="1">
        <v>1</v>
      </c>
      <c r="D35" s="1" t="s">
        <v>458</v>
      </c>
      <c r="E35" s="2">
        <v>532913</v>
      </c>
      <c r="F35" s="2">
        <v>4030</v>
      </c>
      <c r="G35" s="3">
        <v>1574.28866769981</v>
      </c>
      <c r="H35" s="8"/>
    </row>
    <row r="36" spans="1:8" x14ac:dyDescent="0.2">
      <c r="A36" t="s">
        <v>34</v>
      </c>
      <c r="B36" s="1" t="s">
        <v>253</v>
      </c>
      <c r="C36" s="1">
        <v>1</v>
      </c>
      <c r="D36" s="1" t="s">
        <v>456</v>
      </c>
      <c r="E36" s="2">
        <v>15517635</v>
      </c>
      <c r="F36" s="2">
        <v>181040</v>
      </c>
      <c r="G36" s="3">
        <v>18049.954289422902</v>
      </c>
      <c r="H36" s="8"/>
    </row>
    <row r="37" spans="1:8" x14ac:dyDescent="0.2">
      <c r="A37" t="s">
        <v>35</v>
      </c>
      <c r="B37" s="1" t="s">
        <v>254</v>
      </c>
      <c r="C37" s="1">
        <v>1</v>
      </c>
      <c r="D37" s="1" t="s">
        <v>458</v>
      </c>
      <c r="E37" s="2">
        <v>22834522</v>
      </c>
      <c r="F37" s="2">
        <v>475440</v>
      </c>
      <c r="G37" s="3">
        <v>30916.218544440399</v>
      </c>
      <c r="H37" s="8"/>
    </row>
    <row r="38" spans="1:8" x14ac:dyDescent="0.2">
      <c r="A38" t="s">
        <v>36</v>
      </c>
      <c r="B38" s="1" t="s">
        <v>255</v>
      </c>
      <c r="C38" s="1">
        <v>1</v>
      </c>
      <c r="D38" s="1" t="s">
        <v>460</v>
      </c>
      <c r="E38" s="2">
        <v>35848610</v>
      </c>
      <c r="F38" s="2">
        <v>9984670</v>
      </c>
      <c r="G38" s="3">
        <v>1552807.6520153701</v>
      </c>
      <c r="H38" s="8"/>
    </row>
    <row r="39" spans="1:8" x14ac:dyDescent="0.2">
      <c r="A39" t="s">
        <v>37</v>
      </c>
      <c r="B39" s="1" t="s">
        <v>256</v>
      </c>
      <c r="C39" s="1">
        <v>0</v>
      </c>
      <c r="D39" s="1" t="s">
        <v>460</v>
      </c>
      <c r="E39" s="2">
        <v>59963</v>
      </c>
      <c r="F39" s="2">
        <v>264</v>
      </c>
      <c r="G39" s="3">
        <v>3207.0325129420498</v>
      </c>
      <c r="H39" s="8"/>
    </row>
    <row r="40" spans="1:8" x14ac:dyDescent="0.2">
      <c r="A40" t="s">
        <v>38</v>
      </c>
      <c r="B40" s="1" t="s">
        <v>257</v>
      </c>
      <c r="C40" s="1">
        <v>1</v>
      </c>
      <c r="D40" s="1" t="s">
        <v>458</v>
      </c>
      <c r="E40" s="2">
        <v>4546100</v>
      </c>
      <c r="F40" s="2">
        <v>622980</v>
      </c>
      <c r="G40" s="3">
        <v>1583.77675997697</v>
      </c>
      <c r="H40" s="8"/>
    </row>
    <row r="41" spans="1:8" x14ac:dyDescent="0.2">
      <c r="A41" t="s">
        <v>39</v>
      </c>
      <c r="B41" s="1" t="s">
        <v>258</v>
      </c>
      <c r="C41" s="1">
        <v>1</v>
      </c>
      <c r="D41" s="1" t="s">
        <v>458</v>
      </c>
      <c r="E41" s="2">
        <v>14009413</v>
      </c>
      <c r="F41" s="2">
        <v>1284000</v>
      </c>
      <c r="G41" s="3">
        <v>10888.798113786601</v>
      </c>
      <c r="H41" s="8"/>
    </row>
    <row r="42" spans="1:8" x14ac:dyDescent="0.2">
      <c r="A42" t="s">
        <v>40</v>
      </c>
      <c r="B42" s="1" t="s">
        <v>259</v>
      </c>
      <c r="C42" s="1">
        <v>1</v>
      </c>
      <c r="D42" s="1" t="s">
        <v>457</v>
      </c>
      <c r="E42" s="2">
        <v>163758</v>
      </c>
      <c r="F42" s="2">
        <v>190</v>
      </c>
      <c r="G42" s="3">
        <v>11514.605842336901</v>
      </c>
      <c r="H42" s="8"/>
    </row>
    <row r="43" spans="1:8" x14ac:dyDescent="0.2">
      <c r="A43" t="s">
        <v>41</v>
      </c>
      <c r="B43" s="1" t="s">
        <v>260</v>
      </c>
      <c r="C43" s="1">
        <v>1</v>
      </c>
      <c r="D43" s="1" t="s">
        <v>461</v>
      </c>
      <c r="E43" s="2">
        <v>17762681</v>
      </c>
      <c r="F43" s="2">
        <v>756096</v>
      </c>
      <c r="G43" s="3">
        <v>242517.90516166401</v>
      </c>
      <c r="H43" s="8"/>
    </row>
    <row r="44" spans="1:8" x14ac:dyDescent="0.2">
      <c r="A44" t="s">
        <v>42</v>
      </c>
      <c r="B44" s="1" t="s">
        <v>261</v>
      </c>
      <c r="C44" s="1">
        <v>1</v>
      </c>
      <c r="D44" s="1" t="s">
        <v>456</v>
      </c>
      <c r="E44" s="2">
        <v>1371220000</v>
      </c>
      <c r="F44" s="2">
        <v>9562911</v>
      </c>
      <c r="G44" s="3">
        <v>11064666.2826255</v>
      </c>
      <c r="H44" s="8"/>
    </row>
    <row r="45" spans="1:8" x14ac:dyDescent="0.2">
      <c r="A45" t="s">
        <v>43</v>
      </c>
      <c r="B45" s="1" t="s">
        <v>262</v>
      </c>
      <c r="C45" s="1">
        <v>1</v>
      </c>
      <c r="D45" s="1" t="s">
        <v>461</v>
      </c>
      <c r="E45" s="2">
        <v>48228697</v>
      </c>
      <c r="F45" s="2">
        <v>1141749</v>
      </c>
      <c r="G45" s="3">
        <v>291519.59633869299</v>
      </c>
      <c r="H45" s="8"/>
    </row>
    <row r="46" spans="1:8" x14ac:dyDescent="0.2">
      <c r="A46" t="s">
        <v>44</v>
      </c>
      <c r="B46" s="1" t="s">
        <v>263</v>
      </c>
      <c r="C46" s="1">
        <v>1</v>
      </c>
      <c r="D46" s="1" t="s">
        <v>458</v>
      </c>
      <c r="E46" s="2">
        <v>777424</v>
      </c>
      <c r="F46" s="2">
        <v>1861</v>
      </c>
      <c r="G46" s="3">
        <v>565.68976463263004</v>
      </c>
      <c r="H46" s="8"/>
    </row>
    <row r="47" spans="1:8" x14ac:dyDescent="0.2">
      <c r="A47" t="s">
        <v>45</v>
      </c>
      <c r="B47" s="1" t="s">
        <v>264</v>
      </c>
      <c r="C47" s="1">
        <v>1</v>
      </c>
      <c r="D47" s="1" t="s">
        <v>458</v>
      </c>
      <c r="E47" s="2">
        <v>76196619</v>
      </c>
      <c r="F47" s="2">
        <v>2344860</v>
      </c>
      <c r="G47" s="3">
        <v>36188.521106929395</v>
      </c>
      <c r="H47" s="8"/>
    </row>
    <row r="48" spans="1:8" x14ac:dyDescent="0.2">
      <c r="A48" t="s">
        <v>46</v>
      </c>
      <c r="B48" s="1" t="s">
        <v>265</v>
      </c>
      <c r="C48" s="1">
        <v>1</v>
      </c>
      <c r="D48" s="1" t="s">
        <v>458</v>
      </c>
      <c r="E48" s="2">
        <v>4995648</v>
      </c>
      <c r="F48" s="2">
        <v>342000</v>
      </c>
      <c r="G48" s="3">
        <v>8553.1545803995105</v>
      </c>
      <c r="H48" s="8"/>
    </row>
    <row r="49" spans="1:11" x14ac:dyDescent="0.2">
      <c r="A49" t="s">
        <v>47</v>
      </c>
      <c r="B49" s="1" t="s">
        <v>266</v>
      </c>
      <c r="C49" s="1">
        <v>1</v>
      </c>
      <c r="D49" s="1" t="s">
        <v>460</v>
      </c>
      <c r="E49" s="2">
        <v>4807852</v>
      </c>
      <c r="F49" s="2">
        <v>51100</v>
      </c>
      <c r="G49" s="3">
        <v>54840.103850264997</v>
      </c>
      <c r="H49" s="8"/>
    </row>
    <row r="50" spans="1:11" x14ac:dyDescent="0.2">
      <c r="A50" t="s">
        <v>48</v>
      </c>
      <c r="B50" s="1" t="s">
        <v>267</v>
      </c>
      <c r="C50" s="1">
        <v>1</v>
      </c>
      <c r="D50" s="1" t="s">
        <v>458</v>
      </c>
      <c r="E50" s="2">
        <v>23108472</v>
      </c>
      <c r="F50" s="2">
        <v>322460</v>
      </c>
      <c r="G50" s="3">
        <v>33145.096414073101</v>
      </c>
      <c r="H50" s="8"/>
    </row>
    <row r="51" spans="1:11" x14ac:dyDescent="0.2">
      <c r="A51" t="s">
        <v>49</v>
      </c>
      <c r="B51" s="1" t="s">
        <v>268</v>
      </c>
      <c r="C51" s="1">
        <v>1</v>
      </c>
      <c r="D51" s="1" t="s">
        <v>457</v>
      </c>
      <c r="E51" s="2">
        <v>4203604</v>
      </c>
      <c r="F51" s="2">
        <v>56590</v>
      </c>
      <c r="G51" s="3">
        <v>48921.877447763996</v>
      </c>
      <c r="H51" s="8"/>
    </row>
    <row r="52" spans="1:11" x14ac:dyDescent="0.2">
      <c r="A52" t="s">
        <v>50</v>
      </c>
      <c r="B52" s="1" t="s">
        <v>269</v>
      </c>
      <c r="C52" s="1">
        <v>1</v>
      </c>
      <c r="D52" s="1" t="s">
        <v>460</v>
      </c>
      <c r="E52" s="2">
        <v>11461432</v>
      </c>
      <c r="F52" s="2">
        <v>109880</v>
      </c>
      <c r="G52" s="3">
        <v>87132.800000000003</v>
      </c>
      <c r="H52" s="8"/>
      <c r="K52" s="9"/>
    </row>
    <row r="53" spans="1:11" x14ac:dyDescent="0.2">
      <c r="A53" t="s">
        <v>51</v>
      </c>
      <c r="B53" s="1" t="s">
        <v>270</v>
      </c>
      <c r="C53" s="1">
        <v>0</v>
      </c>
      <c r="D53" s="1" t="s">
        <v>460</v>
      </c>
      <c r="E53" s="2">
        <v>157979</v>
      </c>
      <c r="F53" s="2">
        <v>444</v>
      </c>
      <c r="G53" s="3">
        <v>10381.888884060139</v>
      </c>
      <c r="H53" s="8"/>
    </row>
    <row r="54" spans="1:11" x14ac:dyDescent="0.2">
      <c r="A54" t="s">
        <v>52</v>
      </c>
      <c r="B54" s="1" t="s">
        <v>271</v>
      </c>
      <c r="C54" s="1">
        <v>1</v>
      </c>
      <c r="D54" s="1" t="s">
        <v>457</v>
      </c>
      <c r="E54" s="2">
        <v>1160985</v>
      </c>
      <c r="F54" s="2">
        <v>9250</v>
      </c>
      <c r="G54" s="3">
        <v>19676.1672396584</v>
      </c>
      <c r="H54" s="8"/>
    </row>
    <row r="55" spans="1:11" x14ac:dyDescent="0.2">
      <c r="A55" t="s">
        <v>53</v>
      </c>
      <c r="B55" s="1" t="s">
        <v>272</v>
      </c>
      <c r="C55" s="1">
        <v>1</v>
      </c>
      <c r="D55" s="1" t="s">
        <v>457</v>
      </c>
      <c r="E55" s="2">
        <v>10546059</v>
      </c>
      <c r="F55" s="2">
        <v>78870</v>
      </c>
      <c r="G55" s="3">
        <v>186829.94054575899</v>
      </c>
      <c r="H55" s="8"/>
    </row>
    <row r="56" spans="1:11" x14ac:dyDescent="0.2">
      <c r="A56" t="s">
        <v>54</v>
      </c>
      <c r="B56" s="1" t="s">
        <v>273</v>
      </c>
      <c r="C56" s="1">
        <v>1</v>
      </c>
      <c r="D56" s="1" t="s">
        <v>457</v>
      </c>
      <c r="E56" s="2">
        <v>5683483</v>
      </c>
      <c r="F56" s="2">
        <v>42922</v>
      </c>
      <c r="G56" s="3">
        <v>301298.464861385</v>
      </c>
      <c r="H56" s="8"/>
    </row>
    <row r="57" spans="1:11" x14ac:dyDescent="0.2">
      <c r="A57" t="s">
        <v>55</v>
      </c>
      <c r="B57" s="1" t="s">
        <v>274</v>
      </c>
      <c r="C57" s="1">
        <v>1</v>
      </c>
      <c r="D57" s="1" t="s">
        <v>458</v>
      </c>
      <c r="E57" s="2">
        <v>927414</v>
      </c>
      <c r="F57" s="2">
        <v>23200</v>
      </c>
      <c r="G57" s="3">
        <v>1727</v>
      </c>
      <c r="H57" s="8"/>
    </row>
    <row r="58" spans="1:11" x14ac:dyDescent="0.2">
      <c r="A58" t="s">
        <v>56</v>
      </c>
      <c r="B58" s="1" t="s">
        <v>275</v>
      </c>
      <c r="C58" s="1">
        <v>1</v>
      </c>
      <c r="D58" s="1" t="s">
        <v>460</v>
      </c>
      <c r="E58" s="2">
        <v>73162</v>
      </c>
      <c r="F58" s="2">
        <v>750</v>
      </c>
      <c r="G58" s="3">
        <v>535.09584629629603</v>
      </c>
      <c r="H58" s="8"/>
    </row>
    <row r="59" spans="1:11" x14ac:dyDescent="0.2">
      <c r="A59" t="s">
        <v>57</v>
      </c>
      <c r="B59" s="1" t="s">
        <v>276</v>
      </c>
      <c r="C59" s="1">
        <v>1</v>
      </c>
      <c r="D59" s="1" t="s">
        <v>460</v>
      </c>
      <c r="E59" s="2">
        <v>10528394</v>
      </c>
      <c r="F59" s="2">
        <v>48670</v>
      </c>
      <c r="G59" s="3">
        <v>68102.618092103105</v>
      </c>
      <c r="H59" s="8"/>
    </row>
    <row r="60" spans="1:11" x14ac:dyDescent="0.2">
      <c r="A60" t="s">
        <v>58</v>
      </c>
      <c r="B60" s="1" t="s">
        <v>277</v>
      </c>
      <c r="C60" s="1">
        <v>1</v>
      </c>
      <c r="D60" s="1" t="s">
        <v>461</v>
      </c>
      <c r="E60" s="2">
        <v>16144368</v>
      </c>
      <c r="F60" s="2">
        <v>256370</v>
      </c>
      <c r="G60" s="3">
        <v>99290.380999999994</v>
      </c>
      <c r="H60" s="8"/>
    </row>
    <row r="61" spans="1:11" x14ac:dyDescent="0.2">
      <c r="A61" t="s">
        <v>59</v>
      </c>
      <c r="B61" s="1" t="s">
        <v>278</v>
      </c>
      <c r="C61" s="1">
        <v>1</v>
      </c>
      <c r="D61" s="1" t="s">
        <v>458</v>
      </c>
      <c r="E61" s="2">
        <v>93778172</v>
      </c>
      <c r="F61" s="2">
        <v>1001450</v>
      </c>
      <c r="G61" s="3">
        <v>332698.04103080701</v>
      </c>
      <c r="H61" s="8"/>
    </row>
    <row r="62" spans="1:11" x14ac:dyDescent="0.2">
      <c r="A62" t="s">
        <v>60</v>
      </c>
      <c r="B62" s="1" t="s">
        <v>279</v>
      </c>
      <c r="C62" s="1">
        <v>1</v>
      </c>
      <c r="D62" s="1" t="s">
        <v>460</v>
      </c>
      <c r="E62" s="2">
        <v>6312478</v>
      </c>
      <c r="F62" s="2">
        <v>21040</v>
      </c>
      <c r="G62" s="3">
        <v>26052.34</v>
      </c>
      <c r="H62" s="8"/>
    </row>
    <row r="63" spans="1:11" x14ac:dyDescent="0.2">
      <c r="A63" t="s">
        <v>61</v>
      </c>
      <c r="B63" s="1" t="s">
        <v>280</v>
      </c>
      <c r="C63" s="1">
        <v>1</v>
      </c>
      <c r="D63" s="1" t="s">
        <v>458</v>
      </c>
      <c r="E63" s="2">
        <v>1175389</v>
      </c>
      <c r="F63" s="2">
        <v>28050</v>
      </c>
      <c r="G63" s="3">
        <v>12597.2106575048</v>
      </c>
      <c r="H63" s="8"/>
      <c r="K63" s="9"/>
    </row>
    <row r="64" spans="1:11" x14ac:dyDescent="0.2">
      <c r="A64" t="s">
        <v>62</v>
      </c>
      <c r="B64" s="1" t="s">
        <v>281</v>
      </c>
      <c r="C64" s="1">
        <v>1</v>
      </c>
      <c r="D64" s="1" t="s">
        <v>458</v>
      </c>
      <c r="E64" s="2">
        <v>4954645</v>
      </c>
      <c r="F64" s="2">
        <v>117600</v>
      </c>
      <c r="G64" s="3">
        <v>10176</v>
      </c>
      <c r="H64" s="8"/>
    </row>
    <row r="65" spans="1:11" x14ac:dyDescent="0.2">
      <c r="A65" t="s">
        <v>63</v>
      </c>
      <c r="B65" s="1" t="s">
        <v>282</v>
      </c>
      <c r="C65" s="1">
        <v>1</v>
      </c>
      <c r="D65" s="1" t="s">
        <v>457</v>
      </c>
      <c r="E65" s="2">
        <v>1315407</v>
      </c>
      <c r="F65" s="2">
        <v>45230</v>
      </c>
      <c r="G65" s="3">
        <v>22566.956982229</v>
      </c>
      <c r="H65" s="8"/>
    </row>
    <row r="66" spans="1:11" x14ac:dyDescent="0.2">
      <c r="A66" t="s">
        <v>64</v>
      </c>
      <c r="B66" s="1" t="s">
        <v>283</v>
      </c>
      <c r="C66" s="1">
        <v>1</v>
      </c>
      <c r="D66" s="1" t="s">
        <v>458</v>
      </c>
      <c r="E66" s="2">
        <v>99873033</v>
      </c>
      <c r="F66" s="2">
        <v>1104300</v>
      </c>
      <c r="G66" s="3">
        <v>64464.547915269795</v>
      </c>
      <c r="H66" s="8"/>
    </row>
    <row r="67" spans="1:11" x14ac:dyDescent="0.2">
      <c r="A67" t="s">
        <v>65</v>
      </c>
      <c r="B67" s="1" t="s">
        <v>284</v>
      </c>
      <c r="C67" s="1">
        <v>0</v>
      </c>
      <c r="D67" s="1" t="s">
        <v>457</v>
      </c>
      <c r="E67" s="2">
        <v>48965</v>
      </c>
      <c r="F67" s="2">
        <v>1396</v>
      </c>
      <c r="G67" s="3">
        <v>2476.7460871891699</v>
      </c>
      <c r="H67" s="8"/>
    </row>
    <row r="68" spans="1:11" x14ac:dyDescent="0.2">
      <c r="A68" t="s">
        <v>66</v>
      </c>
      <c r="B68" s="1" t="s">
        <v>285</v>
      </c>
      <c r="C68" s="1">
        <v>1</v>
      </c>
      <c r="D68" s="1" t="s">
        <v>459</v>
      </c>
      <c r="E68" s="2">
        <v>892149</v>
      </c>
      <c r="F68" s="2">
        <v>18270</v>
      </c>
      <c r="G68" s="3">
        <v>4391.1134153318098</v>
      </c>
      <c r="H68" s="8"/>
    </row>
    <row r="69" spans="1:11" x14ac:dyDescent="0.2">
      <c r="A69" t="s">
        <v>67</v>
      </c>
      <c r="B69" s="1" t="s">
        <v>286</v>
      </c>
      <c r="C69" s="1">
        <v>1</v>
      </c>
      <c r="D69" s="1" t="s">
        <v>457</v>
      </c>
      <c r="E69" s="2">
        <v>5479531</v>
      </c>
      <c r="F69" s="2">
        <v>338420</v>
      </c>
      <c r="G69" s="3">
        <v>232439.32452964497</v>
      </c>
      <c r="H69" s="8"/>
    </row>
    <row r="70" spans="1:11" x14ac:dyDescent="0.2">
      <c r="A70" t="s">
        <v>68</v>
      </c>
      <c r="B70" s="1" t="s">
        <v>287</v>
      </c>
      <c r="C70" s="1">
        <v>1</v>
      </c>
      <c r="D70" s="1" t="s">
        <v>457</v>
      </c>
      <c r="E70" s="2">
        <v>66624068</v>
      </c>
      <c r="F70" s="2">
        <v>549087</v>
      </c>
      <c r="G70" s="3">
        <v>2433562.0155162099</v>
      </c>
      <c r="H70" s="8"/>
      <c r="K70" s="9"/>
    </row>
    <row r="71" spans="1:11" x14ac:dyDescent="0.2">
      <c r="A71" t="s">
        <v>69</v>
      </c>
      <c r="B71" s="1" t="s">
        <v>288</v>
      </c>
      <c r="C71" s="1">
        <v>0</v>
      </c>
      <c r="D71" s="1" t="s">
        <v>459</v>
      </c>
      <c r="E71" s="2">
        <v>277690</v>
      </c>
      <c r="F71" s="2">
        <v>4000</v>
      </c>
      <c r="G71" s="3">
        <v>6762.6085574563631</v>
      </c>
      <c r="H71" s="8"/>
    </row>
    <row r="72" spans="1:11" x14ac:dyDescent="0.2">
      <c r="A72" t="s">
        <v>70</v>
      </c>
      <c r="B72" s="1" t="s">
        <v>289</v>
      </c>
      <c r="C72" s="1">
        <v>1</v>
      </c>
      <c r="D72" s="1" t="s">
        <v>458</v>
      </c>
      <c r="E72" s="2">
        <v>1930175</v>
      </c>
      <c r="F72" s="2">
        <v>267670</v>
      </c>
      <c r="G72" s="3">
        <v>14262.0324709041</v>
      </c>
      <c r="H72" s="8"/>
    </row>
    <row r="73" spans="1:11" x14ac:dyDescent="0.2">
      <c r="A73" t="s">
        <v>71</v>
      </c>
      <c r="B73" s="1" t="s">
        <v>290</v>
      </c>
      <c r="C73" s="1">
        <v>1</v>
      </c>
      <c r="D73" s="1" t="s">
        <v>458</v>
      </c>
      <c r="E73" s="2">
        <v>1977590</v>
      </c>
      <c r="F73" s="2">
        <v>11300</v>
      </c>
      <c r="G73" s="3">
        <v>907.65250958168201</v>
      </c>
      <c r="H73" s="8"/>
    </row>
    <row r="74" spans="1:11" x14ac:dyDescent="0.2">
      <c r="A74" t="s">
        <v>72</v>
      </c>
      <c r="B74" s="1" t="s">
        <v>291</v>
      </c>
      <c r="C74" s="1">
        <v>1</v>
      </c>
      <c r="D74" s="1" t="s">
        <v>456</v>
      </c>
      <c r="E74" s="2">
        <v>3717100</v>
      </c>
      <c r="F74" s="2">
        <v>69700</v>
      </c>
      <c r="G74" s="3">
        <v>13993.546732472601</v>
      </c>
      <c r="H74" s="8"/>
    </row>
    <row r="75" spans="1:11" x14ac:dyDescent="0.2">
      <c r="A75" t="s">
        <v>73</v>
      </c>
      <c r="B75" s="1" t="s">
        <v>292</v>
      </c>
      <c r="C75" s="1">
        <v>1</v>
      </c>
      <c r="D75" s="1" t="s">
        <v>457</v>
      </c>
      <c r="E75" s="2">
        <v>81686611</v>
      </c>
      <c r="F75" s="2">
        <v>357380</v>
      </c>
      <c r="G75" s="3">
        <v>3375611.1007422204</v>
      </c>
      <c r="H75" s="8"/>
    </row>
    <row r="76" spans="1:11" x14ac:dyDescent="0.2">
      <c r="A76" t="s">
        <v>74</v>
      </c>
      <c r="B76" s="1" t="s">
        <v>293</v>
      </c>
      <c r="C76" s="1">
        <v>1</v>
      </c>
      <c r="D76" s="1" t="s">
        <v>458</v>
      </c>
      <c r="E76" s="2">
        <v>27582821</v>
      </c>
      <c r="F76" s="2">
        <v>238540</v>
      </c>
      <c r="G76" s="3">
        <v>37543.361203560897</v>
      </c>
      <c r="H76" s="8"/>
      <c r="K76" s="9"/>
    </row>
    <row r="77" spans="1:11" x14ac:dyDescent="0.2">
      <c r="A77" t="s">
        <v>75</v>
      </c>
      <c r="B77" s="1" t="s">
        <v>294</v>
      </c>
      <c r="C77" s="1">
        <v>0</v>
      </c>
      <c r="D77" s="1" t="s">
        <v>457</v>
      </c>
      <c r="E77" s="2">
        <v>34228</v>
      </c>
      <c r="F77" s="2">
        <v>10</v>
      </c>
      <c r="G77" s="3">
        <v>1967.6332917465761</v>
      </c>
      <c r="H77" s="8"/>
    </row>
    <row r="78" spans="1:11" x14ac:dyDescent="0.2">
      <c r="A78" t="s">
        <v>76</v>
      </c>
      <c r="B78" s="1" t="s">
        <v>295</v>
      </c>
      <c r="C78" s="1">
        <v>1</v>
      </c>
      <c r="D78" s="1" t="s">
        <v>457</v>
      </c>
      <c r="E78" s="2">
        <v>10820883</v>
      </c>
      <c r="F78" s="2">
        <v>131960</v>
      </c>
      <c r="G78" s="3">
        <v>195541.76124314402</v>
      </c>
      <c r="H78" s="8"/>
    </row>
    <row r="79" spans="1:11" x14ac:dyDescent="0.2">
      <c r="A79" t="s">
        <v>77</v>
      </c>
      <c r="B79" s="1" t="s">
        <v>296</v>
      </c>
      <c r="C79" s="1">
        <v>0</v>
      </c>
      <c r="D79" s="1" t="s">
        <v>460</v>
      </c>
      <c r="E79" s="2">
        <v>56114</v>
      </c>
      <c r="F79" s="2">
        <v>410450</v>
      </c>
      <c r="G79" s="3">
        <v>2220.3808023305896</v>
      </c>
      <c r="H79" s="8"/>
    </row>
    <row r="80" spans="1:11" x14ac:dyDescent="0.2">
      <c r="A80" t="s">
        <v>78</v>
      </c>
      <c r="B80" s="1" t="s">
        <v>297</v>
      </c>
      <c r="C80" s="1">
        <v>1</v>
      </c>
      <c r="D80" s="1" t="s">
        <v>460</v>
      </c>
      <c r="E80" s="2">
        <v>106823</v>
      </c>
      <c r="F80" s="2">
        <v>340</v>
      </c>
      <c r="G80" s="3">
        <v>997.00792592592597</v>
      </c>
      <c r="H80" s="8"/>
    </row>
    <row r="81" spans="1:8" x14ac:dyDescent="0.2">
      <c r="A81" t="s">
        <v>79</v>
      </c>
      <c r="B81" s="1" t="s">
        <v>298</v>
      </c>
      <c r="C81" s="1">
        <v>0</v>
      </c>
      <c r="D81" s="1" t="s">
        <v>459</v>
      </c>
      <c r="E81" s="2">
        <v>161797</v>
      </c>
      <c r="F81" s="2">
        <v>540</v>
      </c>
      <c r="G81" s="3">
        <v>5697</v>
      </c>
      <c r="H81" s="8"/>
    </row>
    <row r="82" spans="1:8" x14ac:dyDescent="0.2">
      <c r="A82" t="s">
        <v>80</v>
      </c>
      <c r="B82" s="1" t="s">
        <v>299</v>
      </c>
      <c r="C82" s="1">
        <v>1</v>
      </c>
      <c r="D82" s="1" t="s">
        <v>460</v>
      </c>
      <c r="E82" s="2">
        <v>16252429</v>
      </c>
      <c r="F82" s="2">
        <v>108890</v>
      </c>
      <c r="G82" s="3">
        <v>63767.597193917507</v>
      </c>
      <c r="H82" s="8"/>
    </row>
    <row r="83" spans="1:8" x14ac:dyDescent="0.2">
      <c r="A83" t="s">
        <v>81</v>
      </c>
      <c r="B83" s="1" t="s">
        <v>300</v>
      </c>
      <c r="C83" s="1">
        <v>1</v>
      </c>
      <c r="D83" s="1" t="s">
        <v>458</v>
      </c>
      <c r="E83" s="2">
        <v>12091533</v>
      </c>
      <c r="F83" s="2">
        <v>245860</v>
      </c>
      <c r="G83" s="3">
        <v>8767.1436228310104</v>
      </c>
      <c r="H83" s="8"/>
    </row>
    <row r="84" spans="1:8" x14ac:dyDescent="0.2">
      <c r="A84" t="s">
        <v>82</v>
      </c>
      <c r="B84" s="1" t="s">
        <v>301</v>
      </c>
      <c r="C84" s="1">
        <v>1</v>
      </c>
      <c r="D84" s="1" t="s">
        <v>458</v>
      </c>
      <c r="E84" s="2">
        <v>1770526</v>
      </c>
      <c r="F84" s="2">
        <v>36130</v>
      </c>
      <c r="G84" s="3">
        <v>1036.1305065363899</v>
      </c>
      <c r="H84" s="8"/>
    </row>
    <row r="85" spans="1:8" x14ac:dyDescent="0.2">
      <c r="A85" t="s">
        <v>83</v>
      </c>
      <c r="B85" s="1" t="s">
        <v>302</v>
      </c>
      <c r="C85" s="1">
        <v>1</v>
      </c>
      <c r="D85" s="1" t="s">
        <v>461</v>
      </c>
      <c r="E85" s="2">
        <v>768514</v>
      </c>
      <c r="F85" s="2">
        <v>214970</v>
      </c>
      <c r="G85" s="3">
        <v>3197.2251815980603</v>
      </c>
      <c r="H85" s="8"/>
    </row>
    <row r="86" spans="1:8" x14ac:dyDescent="0.2">
      <c r="A86" t="s">
        <v>84</v>
      </c>
      <c r="B86" s="1" t="s">
        <v>303</v>
      </c>
      <c r="C86" s="1">
        <v>1</v>
      </c>
      <c r="D86" s="1" t="s">
        <v>460</v>
      </c>
      <c r="E86" s="2">
        <v>10711061</v>
      </c>
      <c r="F86" s="2">
        <v>27750</v>
      </c>
      <c r="G86" s="3">
        <v>8724.6561264984903</v>
      </c>
      <c r="H86" s="8"/>
    </row>
    <row r="87" spans="1:8" x14ac:dyDescent="0.2">
      <c r="A87" t="s">
        <v>85</v>
      </c>
      <c r="B87" s="1" t="s">
        <v>304</v>
      </c>
      <c r="C87" s="1">
        <v>1</v>
      </c>
      <c r="D87" s="1" t="s">
        <v>460</v>
      </c>
      <c r="E87" s="2">
        <v>8960829</v>
      </c>
      <c r="F87" s="2">
        <v>112490</v>
      </c>
      <c r="G87" s="3">
        <v>20844.284855002497</v>
      </c>
      <c r="H87" s="8"/>
    </row>
    <row r="88" spans="1:8" x14ac:dyDescent="0.2">
      <c r="A88" t="s">
        <v>86</v>
      </c>
      <c r="B88" s="1" t="s">
        <v>305</v>
      </c>
      <c r="C88" s="1">
        <v>0</v>
      </c>
      <c r="D88" s="1" t="s">
        <v>456</v>
      </c>
      <c r="E88" s="2">
        <v>7305700</v>
      </c>
      <c r="F88" s="2">
        <v>1105</v>
      </c>
      <c r="G88" s="3">
        <v>309403.88038907101</v>
      </c>
      <c r="H88" s="8"/>
    </row>
    <row r="89" spans="1:8" x14ac:dyDescent="0.2">
      <c r="A89" t="s">
        <v>87</v>
      </c>
      <c r="B89" s="1" t="s">
        <v>306</v>
      </c>
      <c r="C89" s="1">
        <v>1</v>
      </c>
      <c r="D89" s="1" t="s">
        <v>457</v>
      </c>
      <c r="E89" s="2">
        <v>9843028</v>
      </c>
      <c r="F89" s="2">
        <v>93030</v>
      </c>
      <c r="G89" s="3">
        <v>122879.04200191499</v>
      </c>
      <c r="H89" s="8"/>
    </row>
    <row r="90" spans="1:8" x14ac:dyDescent="0.2">
      <c r="A90" t="s">
        <v>88</v>
      </c>
      <c r="B90" s="1" t="s">
        <v>307</v>
      </c>
      <c r="C90" s="1">
        <v>1</v>
      </c>
      <c r="D90" s="1" t="s">
        <v>457</v>
      </c>
      <c r="E90" s="2">
        <v>330815</v>
      </c>
      <c r="F90" s="2">
        <v>103000</v>
      </c>
      <c r="G90" s="3">
        <v>16783.7149584498</v>
      </c>
      <c r="H90" s="8"/>
    </row>
    <row r="91" spans="1:8" x14ac:dyDescent="0.2">
      <c r="A91" t="s">
        <v>89</v>
      </c>
      <c r="B91" s="1" t="s">
        <v>308</v>
      </c>
      <c r="C91" s="1">
        <v>1</v>
      </c>
      <c r="D91" s="1" t="s">
        <v>456</v>
      </c>
      <c r="E91" s="2">
        <v>1309053980</v>
      </c>
      <c r="F91" s="2">
        <v>3287259</v>
      </c>
      <c r="G91" s="3">
        <v>2089865.41086782</v>
      </c>
      <c r="H91" s="8"/>
    </row>
    <row r="92" spans="1:8" x14ac:dyDescent="0.2">
      <c r="A92" t="s">
        <v>90</v>
      </c>
      <c r="B92" s="1" t="s">
        <v>309</v>
      </c>
      <c r="C92" s="1">
        <v>1</v>
      </c>
      <c r="D92" s="1" t="s">
        <v>456</v>
      </c>
      <c r="E92" s="2">
        <v>258162113</v>
      </c>
      <c r="F92" s="2">
        <v>1910931</v>
      </c>
      <c r="G92" s="3">
        <v>861256.35127735906</v>
      </c>
      <c r="H92" s="8"/>
    </row>
    <row r="93" spans="1:8" x14ac:dyDescent="0.2">
      <c r="A93" t="s">
        <v>91</v>
      </c>
      <c r="B93" s="1" t="s">
        <v>310</v>
      </c>
      <c r="C93" s="1">
        <v>1</v>
      </c>
      <c r="D93" s="1" t="s">
        <v>456</v>
      </c>
      <c r="E93" s="2">
        <v>79360487</v>
      </c>
      <c r="F93" s="2">
        <v>1745150</v>
      </c>
      <c r="G93" s="3">
        <v>385874.47439859004</v>
      </c>
      <c r="H93" s="8"/>
    </row>
    <row r="94" spans="1:8" x14ac:dyDescent="0.2">
      <c r="A94" t="s">
        <v>92</v>
      </c>
      <c r="B94" s="1" t="s">
        <v>311</v>
      </c>
      <c r="C94" s="1">
        <v>1</v>
      </c>
      <c r="D94" s="1" t="s">
        <v>456</v>
      </c>
      <c r="E94" s="2">
        <v>36115649</v>
      </c>
      <c r="F94" s="2">
        <v>435050</v>
      </c>
      <c r="G94" s="3">
        <v>179640.21072644799</v>
      </c>
      <c r="H94" s="8"/>
    </row>
    <row r="95" spans="1:8" x14ac:dyDescent="0.2">
      <c r="A95" t="s">
        <v>93</v>
      </c>
      <c r="B95" s="1" t="s">
        <v>312</v>
      </c>
      <c r="C95" s="1">
        <v>1</v>
      </c>
      <c r="D95" s="1" t="s">
        <v>457</v>
      </c>
      <c r="E95" s="2">
        <v>4676835</v>
      </c>
      <c r="F95" s="2">
        <v>70280</v>
      </c>
      <c r="G95" s="3">
        <v>290617.006703972</v>
      </c>
      <c r="H95" s="8"/>
    </row>
    <row r="96" spans="1:8" x14ac:dyDescent="0.2">
      <c r="A96" t="s">
        <v>94</v>
      </c>
      <c r="B96" s="1" t="s">
        <v>313</v>
      </c>
      <c r="C96" s="1">
        <v>0</v>
      </c>
      <c r="D96" s="1" t="s">
        <v>457</v>
      </c>
      <c r="E96" s="2">
        <v>83167</v>
      </c>
      <c r="F96" s="2">
        <v>570</v>
      </c>
      <c r="G96" s="3">
        <v>6792.4171122994703</v>
      </c>
      <c r="H96" s="8"/>
    </row>
    <row r="97" spans="1:11" x14ac:dyDescent="0.2">
      <c r="A97" t="s">
        <v>95</v>
      </c>
      <c r="B97" s="1" t="s">
        <v>314</v>
      </c>
      <c r="C97" s="1">
        <v>1</v>
      </c>
      <c r="D97" s="1" t="s">
        <v>456</v>
      </c>
      <c r="E97" s="2">
        <v>8380100</v>
      </c>
      <c r="F97" s="2">
        <v>22070</v>
      </c>
      <c r="G97" s="3">
        <v>299096.40472882596</v>
      </c>
      <c r="H97" s="8"/>
    </row>
    <row r="98" spans="1:11" x14ac:dyDescent="0.2">
      <c r="A98" t="s">
        <v>96</v>
      </c>
      <c r="B98" s="1" t="s">
        <v>315</v>
      </c>
      <c r="C98" s="1">
        <v>1</v>
      </c>
      <c r="D98" s="1" t="s">
        <v>457</v>
      </c>
      <c r="E98" s="2">
        <v>60730582</v>
      </c>
      <c r="F98" s="2">
        <v>301340</v>
      </c>
      <c r="G98" s="3">
        <v>1832347.45096151</v>
      </c>
      <c r="H98" s="8"/>
    </row>
    <row r="99" spans="1:11" x14ac:dyDescent="0.2">
      <c r="A99" t="s">
        <v>97</v>
      </c>
      <c r="B99" s="1" t="s">
        <v>316</v>
      </c>
      <c r="C99" s="1">
        <v>1</v>
      </c>
      <c r="D99" s="1" t="s">
        <v>460</v>
      </c>
      <c r="E99" s="2">
        <v>2871934</v>
      </c>
      <c r="F99" s="2">
        <v>10990</v>
      </c>
      <c r="G99" s="3">
        <v>14186.886642668502</v>
      </c>
      <c r="H99" s="8"/>
    </row>
    <row r="100" spans="1:11" x14ac:dyDescent="0.2">
      <c r="A100" t="s">
        <v>98</v>
      </c>
      <c r="B100" s="1" t="s">
        <v>317</v>
      </c>
      <c r="C100" s="1">
        <v>1</v>
      </c>
      <c r="D100" s="1" t="s">
        <v>456</v>
      </c>
      <c r="E100" s="2">
        <v>127141000</v>
      </c>
      <c r="F100" s="2">
        <v>377962</v>
      </c>
      <c r="G100" s="3">
        <v>4383076.2980818599</v>
      </c>
      <c r="H100" s="8"/>
    </row>
    <row r="101" spans="1:11" x14ac:dyDescent="0.2">
      <c r="A101" t="s">
        <v>99</v>
      </c>
      <c r="B101" s="1" t="s">
        <v>318</v>
      </c>
      <c r="C101" s="1">
        <v>1</v>
      </c>
      <c r="D101" s="1" t="s">
        <v>456</v>
      </c>
      <c r="E101" s="2">
        <v>9159302</v>
      </c>
      <c r="F101" s="2">
        <v>89320</v>
      </c>
      <c r="G101" s="3">
        <v>37517.4102816901</v>
      </c>
      <c r="H101" s="8"/>
    </row>
    <row r="102" spans="1:11" x14ac:dyDescent="0.2">
      <c r="A102" t="s">
        <v>100</v>
      </c>
      <c r="B102" s="1" t="s">
        <v>319</v>
      </c>
      <c r="C102" s="1">
        <v>1</v>
      </c>
      <c r="D102" s="1" t="s">
        <v>456</v>
      </c>
      <c r="E102" s="2">
        <v>17544126</v>
      </c>
      <c r="F102" s="2">
        <v>2724902</v>
      </c>
      <c r="G102" s="3">
        <v>184388.43214871499</v>
      </c>
      <c r="H102" s="8"/>
    </row>
    <row r="103" spans="1:11" x14ac:dyDescent="0.2">
      <c r="A103" t="s">
        <v>101</v>
      </c>
      <c r="B103" s="1" t="s">
        <v>320</v>
      </c>
      <c r="C103" s="1">
        <v>1</v>
      </c>
      <c r="D103" s="1" t="s">
        <v>458</v>
      </c>
      <c r="E103" s="2">
        <v>47236259</v>
      </c>
      <c r="F103" s="2">
        <v>580370</v>
      </c>
      <c r="G103" s="3">
        <v>63767.539356605106</v>
      </c>
      <c r="H103" s="8"/>
    </row>
    <row r="104" spans="1:11" x14ac:dyDescent="0.2">
      <c r="A104" t="s">
        <v>102</v>
      </c>
      <c r="B104" s="1" t="s">
        <v>321</v>
      </c>
      <c r="C104" s="1">
        <v>1</v>
      </c>
      <c r="D104" s="1" t="s">
        <v>459</v>
      </c>
      <c r="E104" s="2">
        <v>112407</v>
      </c>
      <c r="F104" s="2">
        <v>810</v>
      </c>
      <c r="G104" s="3">
        <v>169.14053869610598</v>
      </c>
      <c r="H104" s="8"/>
      <c r="K104" s="9"/>
    </row>
    <row r="105" spans="1:11" x14ac:dyDescent="0.2">
      <c r="A105" t="s">
        <v>103</v>
      </c>
      <c r="B105" s="1" t="s">
        <v>322</v>
      </c>
      <c r="C105" s="1">
        <v>1</v>
      </c>
      <c r="D105" s="1" t="s">
        <v>456</v>
      </c>
      <c r="E105" s="2">
        <v>25243917</v>
      </c>
      <c r="F105" s="2">
        <v>120540</v>
      </c>
      <c r="G105" s="3">
        <v>29283.360138136981</v>
      </c>
      <c r="H105" s="8"/>
    </row>
    <row r="106" spans="1:11" x14ac:dyDescent="0.2">
      <c r="A106" t="s">
        <v>104</v>
      </c>
      <c r="B106" s="1" t="s">
        <v>323</v>
      </c>
      <c r="C106" s="1">
        <v>1</v>
      </c>
      <c r="D106" s="1" t="s">
        <v>456</v>
      </c>
      <c r="E106" s="2">
        <v>51014947</v>
      </c>
      <c r="F106" s="2">
        <v>100280</v>
      </c>
      <c r="G106" s="3">
        <v>1382764.02711382</v>
      </c>
      <c r="H106" s="8"/>
    </row>
    <row r="107" spans="1:11" x14ac:dyDescent="0.2">
      <c r="A107" t="s">
        <v>105</v>
      </c>
      <c r="B107" s="1" t="s">
        <v>324</v>
      </c>
      <c r="C107" s="1">
        <v>1</v>
      </c>
      <c r="D107" s="1" t="s">
        <v>457</v>
      </c>
      <c r="E107" s="2">
        <v>1801800</v>
      </c>
      <c r="F107" s="2">
        <v>10887</v>
      </c>
      <c r="G107" s="3">
        <v>6440.5012753687497</v>
      </c>
      <c r="H107" s="8"/>
    </row>
    <row r="108" spans="1:11" x14ac:dyDescent="0.2">
      <c r="A108" t="s">
        <v>106</v>
      </c>
      <c r="B108" s="1" t="s">
        <v>325</v>
      </c>
      <c r="C108" s="1">
        <v>1</v>
      </c>
      <c r="D108" s="1" t="s">
        <v>456</v>
      </c>
      <c r="E108" s="2">
        <v>3935794</v>
      </c>
      <c r="F108" s="2">
        <v>17820</v>
      </c>
      <c r="G108" s="3">
        <v>114567.298105683</v>
      </c>
      <c r="H108" s="8"/>
    </row>
    <row r="109" spans="1:11" x14ac:dyDescent="0.2">
      <c r="A109" t="s">
        <v>107</v>
      </c>
      <c r="B109" s="1" t="s">
        <v>326</v>
      </c>
      <c r="C109" s="1">
        <v>1</v>
      </c>
      <c r="D109" s="1" t="s">
        <v>456</v>
      </c>
      <c r="E109" s="2">
        <v>5956900</v>
      </c>
      <c r="F109" s="2">
        <v>199949</v>
      </c>
      <c r="G109" s="3">
        <v>6678.1783404512098</v>
      </c>
      <c r="H109" s="8"/>
    </row>
    <row r="110" spans="1:11" x14ac:dyDescent="0.2">
      <c r="A110" t="s">
        <v>108</v>
      </c>
      <c r="B110" s="1" t="s">
        <v>327</v>
      </c>
      <c r="C110" s="1">
        <v>1</v>
      </c>
      <c r="D110" s="1" t="s">
        <v>456</v>
      </c>
      <c r="E110" s="2">
        <v>6663967</v>
      </c>
      <c r="F110" s="2">
        <v>236800</v>
      </c>
      <c r="G110" s="3">
        <v>14390.3951497773</v>
      </c>
      <c r="H110" s="8"/>
    </row>
    <row r="111" spans="1:11" x14ac:dyDescent="0.2">
      <c r="A111" t="s">
        <v>109</v>
      </c>
      <c r="B111" s="1" t="s">
        <v>328</v>
      </c>
      <c r="C111" s="1">
        <v>1</v>
      </c>
      <c r="D111" s="1" t="s">
        <v>457</v>
      </c>
      <c r="E111" s="2">
        <v>1977527</v>
      </c>
      <c r="F111" s="2">
        <v>64490</v>
      </c>
      <c r="G111" s="3">
        <v>27009.231911442799</v>
      </c>
      <c r="H111" s="8"/>
    </row>
    <row r="112" spans="1:11" x14ac:dyDescent="0.2">
      <c r="A112" t="s">
        <v>110</v>
      </c>
      <c r="B112" s="1" t="s">
        <v>329</v>
      </c>
      <c r="C112" s="1">
        <v>1</v>
      </c>
      <c r="D112" s="1" t="s">
        <v>456</v>
      </c>
      <c r="E112" s="2">
        <v>5851479</v>
      </c>
      <c r="F112" s="2">
        <v>10450</v>
      </c>
      <c r="G112" s="3">
        <v>49459.296463283601</v>
      </c>
      <c r="H112" s="8"/>
    </row>
    <row r="113" spans="1:8" x14ac:dyDescent="0.2">
      <c r="A113" t="s">
        <v>111</v>
      </c>
      <c r="B113" s="1" t="s">
        <v>330</v>
      </c>
      <c r="C113" s="1">
        <v>1</v>
      </c>
      <c r="D113" s="1" t="s">
        <v>458</v>
      </c>
      <c r="E113" s="2">
        <v>2174645</v>
      </c>
      <c r="F113" s="2">
        <v>30360</v>
      </c>
      <c r="G113" s="3">
        <v>2505.8860246572999</v>
      </c>
      <c r="H113" s="8"/>
    </row>
    <row r="114" spans="1:8" x14ac:dyDescent="0.2">
      <c r="A114" t="s">
        <v>112</v>
      </c>
      <c r="B114" s="1" t="s">
        <v>331</v>
      </c>
      <c r="C114" s="1">
        <v>1</v>
      </c>
      <c r="D114" s="1" t="s">
        <v>458</v>
      </c>
      <c r="E114" s="2">
        <v>4499621</v>
      </c>
      <c r="F114" s="2">
        <v>111370</v>
      </c>
      <c r="G114" s="3">
        <v>2034</v>
      </c>
      <c r="H114" s="8"/>
    </row>
    <row r="115" spans="1:8" x14ac:dyDescent="0.2">
      <c r="A115" t="s">
        <v>113</v>
      </c>
      <c r="B115" s="1" t="s">
        <v>332</v>
      </c>
      <c r="C115" s="1">
        <v>1</v>
      </c>
      <c r="D115" s="1" t="s">
        <v>458</v>
      </c>
      <c r="E115" s="2">
        <v>6234955</v>
      </c>
      <c r="F115" s="2">
        <v>1759540</v>
      </c>
      <c r="G115" s="3">
        <v>67516.236337715804</v>
      </c>
      <c r="H115" s="8"/>
    </row>
    <row r="116" spans="1:8" x14ac:dyDescent="0.2">
      <c r="A116" t="s">
        <v>114</v>
      </c>
      <c r="B116" s="1" t="s">
        <v>333</v>
      </c>
      <c r="C116" s="1">
        <v>1</v>
      </c>
      <c r="D116" s="1" t="s">
        <v>457</v>
      </c>
      <c r="E116" s="2">
        <v>37403</v>
      </c>
      <c r="F116" s="2">
        <v>160</v>
      </c>
      <c r="G116" s="3">
        <v>6289.1654095590802</v>
      </c>
      <c r="H116" s="8"/>
    </row>
    <row r="117" spans="1:8" x14ac:dyDescent="0.2">
      <c r="A117" t="s">
        <v>115</v>
      </c>
      <c r="B117" s="1" t="s">
        <v>334</v>
      </c>
      <c r="C117" s="1">
        <v>1</v>
      </c>
      <c r="D117" s="1" t="s">
        <v>457</v>
      </c>
      <c r="E117" s="2">
        <v>2904910</v>
      </c>
      <c r="F117" s="2">
        <v>65286</v>
      </c>
      <c r="G117" s="3">
        <v>41402.022148205302</v>
      </c>
      <c r="H117" s="8"/>
    </row>
    <row r="118" spans="1:8" x14ac:dyDescent="0.2">
      <c r="A118" t="s">
        <v>116</v>
      </c>
      <c r="B118" s="1" t="s">
        <v>335</v>
      </c>
      <c r="C118" s="1">
        <v>1</v>
      </c>
      <c r="D118" s="1" t="s">
        <v>457</v>
      </c>
      <c r="E118" s="2">
        <v>569604</v>
      </c>
      <c r="F118" s="2">
        <v>2590</v>
      </c>
      <c r="G118" s="3">
        <v>57784.495265437799</v>
      </c>
      <c r="H118" s="8"/>
    </row>
    <row r="119" spans="1:8" x14ac:dyDescent="0.2">
      <c r="A119" t="s">
        <v>117</v>
      </c>
      <c r="B119" s="1" t="s">
        <v>336</v>
      </c>
      <c r="C119" s="1">
        <v>0</v>
      </c>
      <c r="D119" s="1" t="s">
        <v>456</v>
      </c>
      <c r="E119" s="2">
        <v>600942</v>
      </c>
      <c r="F119" s="2">
        <v>30.3</v>
      </c>
      <c r="G119" s="3">
        <v>45415.278647463994</v>
      </c>
      <c r="H119" s="8"/>
    </row>
    <row r="120" spans="1:8" x14ac:dyDescent="0.2">
      <c r="A120" t="s">
        <v>118</v>
      </c>
      <c r="B120" s="1" t="s">
        <v>337</v>
      </c>
      <c r="C120" s="1">
        <v>1</v>
      </c>
      <c r="D120" s="1" t="s">
        <v>457</v>
      </c>
      <c r="E120" s="2">
        <v>2079308</v>
      </c>
      <c r="F120" s="2">
        <v>25710</v>
      </c>
      <c r="G120" s="3">
        <v>10051.6591611733</v>
      </c>
      <c r="H120" s="8"/>
    </row>
    <row r="121" spans="1:8" x14ac:dyDescent="0.2">
      <c r="A121" t="s">
        <v>119</v>
      </c>
      <c r="B121" s="1" t="s">
        <v>338</v>
      </c>
      <c r="C121" s="1">
        <v>1</v>
      </c>
      <c r="D121" s="1" t="s">
        <v>458</v>
      </c>
      <c r="E121" s="2">
        <v>24234088</v>
      </c>
      <c r="F121" s="2">
        <v>587295</v>
      </c>
      <c r="G121" s="3">
        <v>9744.2434204807305</v>
      </c>
      <c r="H121" s="8"/>
    </row>
    <row r="122" spans="1:8" x14ac:dyDescent="0.2">
      <c r="A122" t="s">
        <v>120</v>
      </c>
      <c r="B122" s="1" t="s">
        <v>339</v>
      </c>
      <c r="C122" s="1">
        <v>1</v>
      </c>
      <c r="D122" s="1" t="s">
        <v>458</v>
      </c>
      <c r="E122" s="2">
        <v>17573607</v>
      </c>
      <c r="F122" s="2">
        <v>118480</v>
      </c>
      <c r="G122" s="3">
        <v>6373.2011600324804</v>
      </c>
      <c r="H122" s="8"/>
    </row>
    <row r="123" spans="1:8" x14ac:dyDescent="0.2">
      <c r="A123" t="s">
        <v>121</v>
      </c>
      <c r="B123" s="1" t="s">
        <v>340</v>
      </c>
      <c r="C123" s="1">
        <v>1</v>
      </c>
      <c r="D123" s="1" t="s">
        <v>456</v>
      </c>
      <c r="E123" s="2">
        <v>30723155</v>
      </c>
      <c r="F123" s="2">
        <v>330800</v>
      </c>
      <c r="G123" s="3">
        <v>296434.00332863897</v>
      </c>
      <c r="H123" s="8"/>
    </row>
    <row r="124" spans="1:8" x14ac:dyDescent="0.2">
      <c r="A124" t="s">
        <v>122</v>
      </c>
      <c r="B124" s="1" t="s">
        <v>341</v>
      </c>
      <c r="C124" s="1">
        <v>1</v>
      </c>
      <c r="D124" s="1" t="s">
        <v>456</v>
      </c>
      <c r="E124" s="2">
        <v>409163</v>
      </c>
      <c r="F124" s="2">
        <v>300</v>
      </c>
      <c r="G124" s="3">
        <v>4006.5311882648602</v>
      </c>
      <c r="H124" s="8"/>
    </row>
    <row r="125" spans="1:8" x14ac:dyDescent="0.2">
      <c r="A125" t="s">
        <v>123</v>
      </c>
      <c r="B125" s="1" t="s">
        <v>342</v>
      </c>
      <c r="C125" s="1">
        <v>1</v>
      </c>
      <c r="D125" s="1" t="s">
        <v>458</v>
      </c>
      <c r="E125" s="2">
        <v>17467905</v>
      </c>
      <c r="F125" s="2">
        <v>1240190</v>
      </c>
      <c r="G125" s="3">
        <v>13100.058099804</v>
      </c>
      <c r="H125" s="8"/>
    </row>
    <row r="126" spans="1:8" x14ac:dyDescent="0.2">
      <c r="A126" t="s">
        <v>124</v>
      </c>
      <c r="B126" s="1" t="s">
        <v>343</v>
      </c>
      <c r="C126" s="1">
        <v>1</v>
      </c>
      <c r="D126" s="1" t="s">
        <v>457</v>
      </c>
      <c r="E126" s="2">
        <v>431874</v>
      </c>
      <c r="F126" s="2">
        <v>320</v>
      </c>
      <c r="G126" s="3">
        <v>10285.5479540777</v>
      </c>
      <c r="H126" s="8"/>
    </row>
    <row r="127" spans="1:8" x14ac:dyDescent="0.2">
      <c r="A127" t="s">
        <v>125</v>
      </c>
      <c r="B127" s="1" t="s">
        <v>344</v>
      </c>
      <c r="C127" s="1">
        <v>1</v>
      </c>
      <c r="D127" s="1" t="s">
        <v>459</v>
      </c>
      <c r="E127" s="2">
        <v>52994</v>
      </c>
      <c r="F127" s="2">
        <v>180</v>
      </c>
      <c r="G127" s="3">
        <v>179.6979</v>
      </c>
      <c r="H127" s="8"/>
    </row>
    <row r="128" spans="1:8" x14ac:dyDescent="0.2">
      <c r="A128" t="s">
        <v>126</v>
      </c>
      <c r="B128" s="1" t="s">
        <v>345</v>
      </c>
      <c r="C128" s="1">
        <v>1</v>
      </c>
      <c r="D128" s="1" t="s">
        <v>458</v>
      </c>
      <c r="E128" s="2">
        <v>4182341</v>
      </c>
      <c r="F128" s="2">
        <v>1030700</v>
      </c>
      <c r="G128" s="3">
        <v>4844.2231069546897</v>
      </c>
      <c r="H128" s="8"/>
    </row>
    <row r="129" spans="1:8" x14ac:dyDescent="0.2">
      <c r="A129" t="s">
        <v>127</v>
      </c>
      <c r="B129" s="1" t="s">
        <v>346</v>
      </c>
      <c r="C129" s="1">
        <v>1</v>
      </c>
      <c r="D129" s="1" t="s">
        <v>458</v>
      </c>
      <c r="E129" s="2">
        <v>1262605</v>
      </c>
      <c r="F129" s="2">
        <v>2040</v>
      </c>
      <c r="G129" s="3">
        <v>11692.287066381001</v>
      </c>
      <c r="H129" s="8"/>
    </row>
    <row r="130" spans="1:8" x14ac:dyDescent="0.2">
      <c r="A130" t="s">
        <v>128</v>
      </c>
      <c r="B130" s="1" t="s">
        <v>347</v>
      </c>
      <c r="C130" s="1">
        <v>1</v>
      </c>
      <c r="D130" s="1" t="s">
        <v>460</v>
      </c>
      <c r="E130" s="2">
        <v>125890949</v>
      </c>
      <c r="F130" s="2">
        <v>1964380</v>
      </c>
      <c r="G130" s="3">
        <v>1152263.7806578602</v>
      </c>
      <c r="H130" s="8"/>
    </row>
    <row r="131" spans="1:8" x14ac:dyDescent="0.2">
      <c r="A131" t="s">
        <v>129</v>
      </c>
      <c r="B131" s="1" t="s">
        <v>348</v>
      </c>
      <c r="C131" s="1">
        <v>1</v>
      </c>
      <c r="D131" s="1" t="s">
        <v>459</v>
      </c>
      <c r="E131" s="2">
        <v>104433</v>
      </c>
      <c r="F131" s="2">
        <v>700</v>
      </c>
      <c r="G131" s="3">
        <v>315.17970000000003</v>
      </c>
      <c r="H131" s="8"/>
    </row>
    <row r="132" spans="1:8" x14ac:dyDescent="0.2">
      <c r="A132" t="s">
        <v>130</v>
      </c>
      <c r="B132" s="1" t="s">
        <v>349</v>
      </c>
      <c r="C132" s="1">
        <v>1</v>
      </c>
      <c r="D132" s="1" t="s">
        <v>457</v>
      </c>
      <c r="E132" s="2">
        <v>3554108</v>
      </c>
      <c r="F132" s="2">
        <v>33850</v>
      </c>
      <c r="G132" s="3">
        <v>6512.8995403459394</v>
      </c>
      <c r="H132" s="8"/>
    </row>
    <row r="133" spans="1:8" x14ac:dyDescent="0.2">
      <c r="A133" t="s">
        <v>131</v>
      </c>
      <c r="B133" s="1" t="s">
        <v>350</v>
      </c>
      <c r="C133" s="1">
        <v>1</v>
      </c>
      <c r="D133" s="1" t="s">
        <v>457</v>
      </c>
      <c r="E133" s="2">
        <v>38307</v>
      </c>
      <c r="F133" s="2">
        <v>2</v>
      </c>
      <c r="G133" s="3">
        <v>5974.37169595045</v>
      </c>
      <c r="H133" s="8"/>
    </row>
    <row r="134" spans="1:8" x14ac:dyDescent="0.2">
      <c r="A134" t="s">
        <v>132</v>
      </c>
      <c r="B134" s="1" t="s">
        <v>351</v>
      </c>
      <c r="C134" s="1">
        <v>1</v>
      </c>
      <c r="D134" s="1" t="s">
        <v>456</v>
      </c>
      <c r="E134" s="2">
        <v>2976877</v>
      </c>
      <c r="F134" s="2">
        <v>1564120</v>
      </c>
      <c r="G134" s="3">
        <v>11749.6206195962</v>
      </c>
      <c r="H134" s="8"/>
    </row>
    <row r="135" spans="1:8" x14ac:dyDescent="0.2">
      <c r="A135" t="s">
        <v>133</v>
      </c>
      <c r="B135" s="1" t="s">
        <v>352</v>
      </c>
      <c r="C135" s="1">
        <v>1</v>
      </c>
      <c r="D135" s="1" t="s">
        <v>461</v>
      </c>
      <c r="E135" s="2">
        <v>622159</v>
      </c>
      <c r="F135" s="2">
        <v>13810</v>
      </c>
      <c r="G135" s="3">
        <v>4052.9133858267696</v>
      </c>
      <c r="H135" s="8"/>
    </row>
    <row r="136" spans="1:8" x14ac:dyDescent="0.2">
      <c r="A136" t="s">
        <v>134</v>
      </c>
      <c r="B136" s="1" t="s">
        <v>353</v>
      </c>
      <c r="C136" s="1">
        <v>1</v>
      </c>
      <c r="D136" s="1" t="s">
        <v>458</v>
      </c>
      <c r="E136" s="2">
        <v>34803322</v>
      </c>
      <c r="F136" s="2">
        <v>446550</v>
      </c>
      <c r="G136" s="3">
        <v>101187.079462942</v>
      </c>
      <c r="H136" s="8"/>
    </row>
    <row r="137" spans="1:8" x14ac:dyDescent="0.2">
      <c r="A137" t="s">
        <v>135</v>
      </c>
      <c r="B137" s="1" t="s">
        <v>354</v>
      </c>
      <c r="C137" s="1">
        <v>1</v>
      </c>
      <c r="D137" s="1" t="s">
        <v>458</v>
      </c>
      <c r="E137" s="2">
        <v>28010691</v>
      </c>
      <c r="F137" s="2">
        <v>799380</v>
      </c>
      <c r="G137" s="3">
        <v>14798.439527254101</v>
      </c>
      <c r="H137" s="8"/>
    </row>
    <row r="138" spans="1:8" x14ac:dyDescent="0.2">
      <c r="A138" t="s">
        <v>136</v>
      </c>
      <c r="B138" s="1" t="s">
        <v>355</v>
      </c>
      <c r="C138" s="1">
        <v>1</v>
      </c>
      <c r="D138" s="1" t="s">
        <v>456</v>
      </c>
      <c r="E138" s="2">
        <v>52403669</v>
      </c>
      <c r="F138" s="2">
        <v>676590</v>
      </c>
      <c r="G138" s="3">
        <v>59687.373958257398</v>
      </c>
      <c r="H138" s="8"/>
    </row>
    <row r="139" spans="1:8" x14ac:dyDescent="0.2">
      <c r="A139" t="s">
        <v>137</v>
      </c>
      <c r="B139" s="1" t="s">
        <v>356</v>
      </c>
      <c r="C139" s="1">
        <v>1</v>
      </c>
      <c r="D139" s="1" t="s">
        <v>458</v>
      </c>
      <c r="E139" s="2">
        <v>2425561</v>
      </c>
      <c r="F139" s="2">
        <v>824290</v>
      </c>
      <c r="G139" s="3">
        <v>11571.141027047801</v>
      </c>
      <c r="H139" s="8"/>
    </row>
    <row r="140" spans="1:8" x14ac:dyDescent="0.2">
      <c r="A140" t="s">
        <v>138</v>
      </c>
      <c r="B140" s="1" t="s">
        <v>357</v>
      </c>
      <c r="C140" s="1">
        <v>1</v>
      </c>
      <c r="D140" s="1" t="s">
        <v>459</v>
      </c>
      <c r="E140" s="2">
        <v>12475</v>
      </c>
      <c r="F140" s="2">
        <v>20</v>
      </c>
      <c r="G140" s="3">
        <v>100.459782608696</v>
      </c>
      <c r="H140" s="8"/>
    </row>
    <row r="141" spans="1:8" x14ac:dyDescent="0.2">
      <c r="A141" t="s">
        <v>139</v>
      </c>
      <c r="B141" s="1" t="s">
        <v>358</v>
      </c>
      <c r="C141" s="1">
        <v>1</v>
      </c>
      <c r="D141" s="1" t="s">
        <v>456</v>
      </c>
      <c r="E141" s="2">
        <v>28656282</v>
      </c>
      <c r="F141" s="2">
        <v>147180</v>
      </c>
      <c r="G141" s="3">
        <v>21410.8409085198</v>
      </c>
      <c r="H141" s="8"/>
    </row>
    <row r="142" spans="1:8" x14ac:dyDescent="0.2">
      <c r="A142" t="s">
        <v>140</v>
      </c>
      <c r="B142" s="1" t="s">
        <v>359</v>
      </c>
      <c r="C142" s="1">
        <v>1</v>
      </c>
      <c r="D142" s="1" t="s">
        <v>457</v>
      </c>
      <c r="E142" s="2">
        <v>16939923</v>
      </c>
      <c r="F142" s="2">
        <v>41540</v>
      </c>
      <c r="G142" s="3">
        <v>757999.45331426908</v>
      </c>
      <c r="H142" s="8"/>
    </row>
    <row r="143" spans="1:8" x14ac:dyDescent="0.2">
      <c r="A143" t="s">
        <v>141</v>
      </c>
      <c r="B143" s="1" t="s">
        <v>360</v>
      </c>
      <c r="C143" s="1">
        <v>0</v>
      </c>
      <c r="D143" s="1" t="s">
        <v>459</v>
      </c>
      <c r="E143" s="2">
        <v>273000</v>
      </c>
      <c r="F143" s="2">
        <v>18580</v>
      </c>
      <c r="G143" s="3">
        <v>819</v>
      </c>
      <c r="H143" s="8"/>
    </row>
    <row r="144" spans="1:8" x14ac:dyDescent="0.2">
      <c r="A144" t="s">
        <v>142</v>
      </c>
      <c r="B144" s="1" t="s">
        <v>361</v>
      </c>
      <c r="C144" s="1">
        <v>1</v>
      </c>
      <c r="D144" s="1" t="s">
        <v>459</v>
      </c>
      <c r="E144" s="2">
        <v>4595700</v>
      </c>
      <c r="F144" s="2">
        <v>267710</v>
      </c>
      <c r="G144" s="3">
        <v>175562.976175285</v>
      </c>
      <c r="H144" s="8"/>
    </row>
    <row r="145" spans="1:8" x14ac:dyDescent="0.2">
      <c r="A145" t="s">
        <v>143</v>
      </c>
      <c r="B145" s="1" t="s">
        <v>362</v>
      </c>
      <c r="C145" s="1">
        <v>1</v>
      </c>
      <c r="D145" s="1" t="s">
        <v>460</v>
      </c>
      <c r="E145" s="2">
        <v>6082035</v>
      </c>
      <c r="F145" s="2">
        <v>130370</v>
      </c>
      <c r="G145" s="3">
        <v>12747.741539725901</v>
      </c>
      <c r="H145" s="8"/>
    </row>
    <row r="146" spans="1:8" x14ac:dyDescent="0.2">
      <c r="A146" t="s">
        <v>144</v>
      </c>
      <c r="B146" s="1" t="s">
        <v>363</v>
      </c>
      <c r="C146" s="1">
        <v>1</v>
      </c>
      <c r="D146" s="1" t="s">
        <v>458</v>
      </c>
      <c r="E146" s="2">
        <v>19896965</v>
      </c>
      <c r="F146" s="2">
        <v>1267000</v>
      </c>
      <c r="G146" s="3">
        <v>7217.6663606952106</v>
      </c>
      <c r="H146" s="8"/>
    </row>
    <row r="147" spans="1:8" x14ac:dyDescent="0.2">
      <c r="A147" t="s">
        <v>145</v>
      </c>
      <c r="B147" s="1" t="s">
        <v>364</v>
      </c>
      <c r="C147" s="1">
        <v>1</v>
      </c>
      <c r="D147" s="1" t="s">
        <v>458</v>
      </c>
      <c r="E147" s="2">
        <v>181181744</v>
      </c>
      <c r="F147" s="2">
        <v>923770</v>
      </c>
      <c r="G147" s="3">
        <v>481066.15288909397</v>
      </c>
      <c r="H147" s="8"/>
    </row>
    <row r="148" spans="1:8" x14ac:dyDescent="0.2">
      <c r="A148" t="s">
        <v>146</v>
      </c>
      <c r="B148" s="1" t="s">
        <v>365</v>
      </c>
      <c r="C148" s="1">
        <v>0</v>
      </c>
      <c r="D148" s="1" t="s">
        <v>459</v>
      </c>
      <c r="E148" s="2">
        <v>54816</v>
      </c>
      <c r="F148" s="2">
        <v>460</v>
      </c>
      <c r="G148" s="3">
        <v>933</v>
      </c>
      <c r="H148" s="8"/>
    </row>
    <row r="149" spans="1:8" x14ac:dyDescent="0.2">
      <c r="A149" t="s">
        <v>147</v>
      </c>
      <c r="B149" s="1" t="s">
        <v>366</v>
      </c>
      <c r="C149" s="1">
        <v>1</v>
      </c>
      <c r="D149" s="1" t="s">
        <v>457</v>
      </c>
      <c r="E149" s="2">
        <v>5188607</v>
      </c>
      <c r="F149" s="2">
        <v>385178</v>
      </c>
      <c r="G149" s="3">
        <v>386663.13940270699</v>
      </c>
      <c r="H149" s="8"/>
    </row>
    <row r="150" spans="1:8" x14ac:dyDescent="0.2">
      <c r="A150" t="s">
        <v>148</v>
      </c>
      <c r="B150" s="1" t="s">
        <v>367</v>
      </c>
      <c r="C150" s="1">
        <v>1</v>
      </c>
      <c r="D150" s="1" t="s">
        <v>456</v>
      </c>
      <c r="E150" s="2">
        <v>4199810</v>
      </c>
      <c r="F150" s="2">
        <v>309500</v>
      </c>
      <c r="G150" s="3">
        <v>69831.770871261397</v>
      </c>
      <c r="H150" s="8"/>
    </row>
    <row r="151" spans="1:8" x14ac:dyDescent="0.2">
      <c r="A151" t="s">
        <v>149</v>
      </c>
      <c r="B151" s="1" t="s">
        <v>368</v>
      </c>
      <c r="C151" s="1">
        <v>1</v>
      </c>
      <c r="D151" s="1" t="s">
        <v>456</v>
      </c>
      <c r="E151" s="2">
        <v>189380513</v>
      </c>
      <c r="F151" s="2">
        <v>796100</v>
      </c>
      <c r="G151" s="3">
        <v>270556.12682006398</v>
      </c>
      <c r="H151" s="8"/>
    </row>
    <row r="152" spans="1:8" x14ac:dyDescent="0.2">
      <c r="A152" t="s">
        <v>150</v>
      </c>
      <c r="B152" s="1" t="s">
        <v>369</v>
      </c>
      <c r="C152" s="1">
        <v>0</v>
      </c>
      <c r="D152" s="1" t="s">
        <v>459</v>
      </c>
      <c r="E152" s="2">
        <v>21288</v>
      </c>
      <c r="F152" s="2">
        <v>460</v>
      </c>
      <c r="G152" s="3">
        <v>297.6454</v>
      </c>
      <c r="H152" s="8"/>
    </row>
    <row r="153" spans="1:8" x14ac:dyDescent="0.2">
      <c r="A153" t="s">
        <v>151</v>
      </c>
      <c r="B153" s="1" t="s">
        <v>370</v>
      </c>
      <c r="C153" s="1">
        <v>1</v>
      </c>
      <c r="D153" s="1" t="s">
        <v>460</v>
      </c>
      <c r="E153" s="2">
        <v>3969249</v>
      </c>
      <c r="F153" s="2">
        <v>75420</v>
      </c>
      <c r="G153" s="3">
        <v>52132.289700000001</v>
      </c>
      <c r="H153" s="8"/>
    </row>
    <row r="154" spans="1:8" x14ac:dyDescent="0.2">
      <c r="A154" t="s">
        <v>152</v>
      </c>
      <c r="B154" s="1" t="s">
        <v>371</v>
      </c>
      <c r="C154" s="1">
        <v>1</v>
      </c>
      <c r="D154" s="1" t="s">
        <v>459</v>
      </c>
      <c r="E154" s="2">
        <v>7919825</v>
      </c>
      <c r="F154" s="2">
        <v>462840</v>
      </c>
      <c r="G154" s="3">
        <v>21060.901603814498</v>
      </c>
      <c r="H154" s="8"/>
    </row>
    <row r="155" spans="1:8" x14ac:dyDescent="0.2">
      <c r="A155" t="s">
        <v>153</v>
      </c>
      <c r="B155" s="1" t="s">
        <v>372</v>
      </c>
      <c r="C155" s="1">
        <v>1</v>
      </c>
      <c r="D155" s="1" t="s">
        <v>461</v>
      </c>
      <c r="E155" s="2">
        <v>6639119</v>
      </c>
      <c r="F155" s="2">
        <v>406752</v>
      </c>
      <c r="G155" s="3">
        <v>27282.5813357964</v>
      </c>
      <c r="H155" s="8"/>
    </row>
    <row r="156" spans="1:8" x14ac:dyDescent="0.2">
      <c r="A156" t="s">
        <v>154</v>
      </c>
      <c r="B156" s="1" t="s">
        <v>373</v>
      </c>
      <c r="C156" s="1">
        <v>1</v>
      </c>
      <c r="D156" s="1" t="s">
        <v>461</v>
      </c>
      <c r="E156" s="2">
        <v>31376671</v>
      </c>
      <c r="F156" s="2">
        <v>1285220</v>
      </c>
      <c r="G156" s="3">
        <v>189212.09647029301</v>
      </c>
      <c r="H156" s="8"/>
    </row>
    <row r="157" spans="1:8" x14ac:dyDescent="0.2">
      <c r="A157" t="s">
        <v>155</v>
      </c>
      <c r="B157" s="1" t="s">
        <v>374</v>
      </c>
      <c r="C157" s="1">
        <v>1</v>
      </c>
      <c r="D157" s="1" t="s">
        <v>456</v>
      </c>
      <c r="E157" s="2">
        <v>101716359</v>
      </c>
      <c r="F157" s="2">
        <v>300000</v>
      </c>
      <c r="G157" s="3">
        <v>292774.099013687</v>
      </c>
      <c r="H157" s="8"/>
    </row>
    <row r="158" spans="1:8" x14ac:dyDescent="0.2">
      <c r="A158" t="s">
        <v>156</v>
      </c>
      <c r="B158" s="1" t="s">
        <v>375</v>
      </c>
      <c r="C158" s="1">
        <v>1</v>
      </c>
      <c r="D158" s="1" t="s">
        <v>457</v>
      </c>
      <c r="E158" s="2">
        <v>37986412</v>
      </c>
      <c r="F158" s="2">
        <v>312680</v>
      </c>
      <c r="G158" s="3">
        <v>477279.64775470097</v>
      </c>
      <c r="H158" s="8"/>
    </row>
    <row r="159" spans="1:8" x14ac:dyDescent="0.2">
      <c r="A159" t="s">
        <v>157</v>
      </c>
      <c r="B159" s="1" t="s">
        <v>376</v>
      </c>
      <c r="C159" s="1">
        <v>1</v>
      </c>
      <c r="D159" s="1" t="s">
        <v>457</v>
      </c>
      <c r="E159" s="2">
        <v>10358076</v>
      </c>
      <c r="F159" s="2">
        <v>92225</v>
      </c>
      <c r="G159" s="3">
        <v>199420.25604968899</v>
      </c>
      <c r="H159" s="8"/>
    </row>
    <row r="160" spans="1:8" x14ac:dyDescent="0.2">
      <c r="A160" t="s">
        <v>158</v>
      </c>
      <c r="B160" s="1" t="s">
        <v>377</v>
      </c>
      <c r="C160" s="1">
        <v>0</v>
      </c>
      <c r="D160" s="1" t="s">
        <v>460</v>
      </c>
      <c r="E160" s="2">
        <v>3473181</v>
      </c>
      <c r="F160" s="2">
        <v>8870</v>
      </c>
      <c r="G160" s="3">
        <v>89524.131617190898</v>
      </c>
      <c r="H160" s="8"/>
    </row>
    <row r="161" spans="1:8" x14ac:dyDescent="0.2">
      <c r="A161" t="s">
        <v>159</v>
      </c>
      <c r="B161" s="1" t="s">
        <v>378</v>
      </c>
      <c r="C161" s="1">
        <v>1</v>
      </c>
      <c r="D161" s="1" t="s">
        <v>456</v>
      </c>
      <c r="E161" s="2">
        <v>2481539</v>
      </c>
      <c r="F161" s="2">
        <v>11610</v>
      </c>
      <c r="G161" s="3">
        <v>164641.483516484</v>
      </c>
      <c r="H161" s="8"/>
    </row>
    <row r="162" spans="1:8" x14ac:dyDescent="0.2">
      <c r="A162" t="s">
        <v>160</v>
      </c>
      <c r="B162" s="1" t="s">
        <v>379</v>
      </c>
      <c r="C162" s="1">
        <v>1</v>
      </c>
      <c r="D162" s="1" t="s">
        <v>457</v>
      </c>
      <c r="E162" s="2">
        <v>19815481</v>
      </c>
      <c r="F162" s="2">
        <v>238390</v>
      </c>
      <c r="G162" s="3">
        <v>177911.10168010599</v>
      </c>
      <c r="H162" s="8"/>
    </row>
    <row r="163" spans="1:8" x14ac:dyDescent="0.2">
      <c r="A163" t="s">
        <v>161</v>
      </c>
      <c r="B163" s="1" t="s">
        <v>380</v>
      </c>
      <c r="C163" s="1">
        <v>1</v>
      </c>
      <c r="D163" s="1" t="s">
        <v>457</v>
      </c>
      <c r="E163" s="2">
        <v>144096870</v>
      </c>
      <c r="F163" s="2">
        <v>17098250</v>
      </c>
      <c r="G163" s="3">
        <v>1365864.12683281</v>
      </c>
      <c r="H163" s="8"/>
    </row>
    <row r="164" spans="1:8" x14ac:dyDescent="0.2">
      <c r="A164" t="s">
        <v>162</v>
      </c>
      <c r="B164" s="1" t="s">
        <v>381</v>
      </c>
      <c r="C164" s="1">
        <v>1</v>
      </c>
      <c r="D164" s="1" t="s">
        <v>458</v>
      </c>
      <c r="E164" s="2">
        <v>11629553</v>
      </c>
      <c r="F164" s="2">
        <v>26340</v>
      </c>
      <c r="G164" s="3">
        <v>8261.0342576324801</v>
      </c>
      <c r="H164" s="8"/>
    </row>
    <row r="165" spans="1:8" x14ac:dyDescent="0.2">
      <c r="A165" t="s">
        <v>163</v>
      </c>
      <c r="B165" s="1" t="s">
        <v>382</v>
      </c>
      <c r="C165" s="1">
        <v>1</v>
      </c>
      <c r="D165" s="1" t="s">
        <v>459</v>
      </c>
      <c r="E165" s="2">
        <v>193759</v>
      </c>
      <c r="F165" s="2">
        <v>2840</v>
      </c>
      <c r="G165" s="3">
        <v>803.98580916628896</v>
      </c>
      <c r="H165" s="8"/>
    </row>
    <row r="166" spans="1:8" x14ac:dyDescent="0.2">
      <c r="A166" t="s">
        <v>164</v>
      </c>
      <c r="B166" s="1" t="s">
        <v>383</v>
      </c>
      <c r="C166" s="1">
        <v>1</v>
      </c>
      <c r="D166" s="1" t="s">
        <v>457</v>
      </c>
      <c r="E166" s="2">
        <v>32960</v>
      </c>
      <c r="F166" s="2">
        <v>60</v>
      </c>
      <c r="G166" s="3">
        <v>1569.2580680936001</v>
      </c>
      <c r="H166" s="8"/>
    </row>
    <row r="167" spans="1:8" x14ac:dyDescent="0.2">
      <c r="A167" t="s">
        <v>165</v>
      </c>
      <c r="B167" s="1" t="s">
        <v>384</v>
      </c>
      <c r="C167" s="1">
        <v>1</v>
      </c>
      <c r="D167" s="1" t="s">
        <v>458</v>
      </c>
      <c r="E167" s="2">
        <v>195553</v>
      </c>
      <c r="F167" s="2">
        <v>960</v>
      </c>
      <c r="G167" s="3">
        <v>315.880811087464</v>
      </c>
      <c r="H167" s="8"/>
    </row>
    <row r="168" spans="1:8" x14ac:dyDescent="0.2">
      <c r="A168" t="s">
        <v>166</v>
      </c>
      <c r="B168" s="1" t="s">
        <v>385</v>
      </c>
      <c r="C168" s="1">
        <v>1</v>
      </c>
      <c r="D168" s="1" t="s">
        <v>456</v>
      </c>
      <c r="E168" s="2">
        <v>31557144</v>
      </c>
      <c r="F168" s="2">
        <v>2149690</v>
      </c>
      <c r="G168" s="3">
        <v>651757.33333333302</v>
      </c>
      <c r="H168" s="8"/>
    </row>
    <row r="169" spans="1:8" x14ac:dyDescent="0.2">
      <c r="A169" t="s">
        <v>167</v>
      </c>
      <c r="B169" s="1" t="s">
        <v>386</v>
      </c>
      <c r="C169" s="1">
        <v>1</v>
      </c>
      <c r="D169" s="1" t="s">
        <v>458</v>
      </c>
      <c r="E169" s="2">
        <v>14976994</v>
      </c>
      <c r="F169" s="2">
        <v>196710</v>
      </c>
      <c r="G169" s="3">
        <v>13640.6683741652</v>
      </c>
      <c r="H169" s="8"/>
    </row>
    <row r="170" spans="1:8" x14ac:dyDescent="0.2">
      <c r="A170" t="s">
        <v>168</v>
      </c>
      <c r="B170" s="1" t="s">
        <v>387</v>
      </c>
      <c r="C170" s="1">
        <v>1</v>
      </c>
      <c r="D170" s="1" t="s">
        <v>457</v>
      </c>
      <c r="E170" s="2">
        <v>7095383</v>
      </c>
      <c r="F170" s="2">
        <v>88360</v>
      </c>
      <c r="G170" s="3">
        <v>37160.332465164494</v>
      </c>
      <c r="H170" s="8"/>
    </row>
    <row r="171" spans="1:8" x14ac:dyDescent="0.2">
      <c r="A171" t="s">
        <v>169</v>
      </c>
      <c r="B171" s="1" t="s">
        <v>388</v>
      </c>
      <c r="C171" s="1">
        <v>1</v>
      </c>
      <c r="D171" s="1" t="s">
        <v>456</v>
      </c>
      <c r="E171" s="2">
        <v>93419</v>
      </c>
      <c r="F171" s="2">
        <v>460</v>
      </c>
      <c r="G171" s="3">
        <v>1437.7222063875402</v>
      </c>
      <c r="H171" s="8"/>
    </row>
    <row r="172" spans="1:8" x14ac:dyDescent="0.2">
      <c r="A172" t="s">
        <v>170</v>
      </c>
      <c r="B172" s="1" t="s">
        <v>389</v>
      </c>
      <c r="C172" s="1">
        <v>1</v>
      </c>
      <c r="D172" s="1" t="s">
        <v>458</v>
      </c>
      <c r="E172" s="2">
        <v>7237025</v>
      </c>
      <c r="F172" s="2">
        <v>72300</v>
      </c>
      <c r="G172" s="3">
        <v>4251.86986950755</v>
      </c>
      <c r="H172" s="8"/>
    </row>
    <row r="173" spans="1:8" x14ac:dyDescent="0.2">
      <c r="A173" t="s">
        <v>171</v>
      </c>
      <c r="B173" s="1" t="s">
        <v>390</v>
      </c>
      <c r="C173" s="1">
        <v>1</v>
      </c>
      <c r="D173" s="1" t="s">
        <v>456</v>
      </c>
      <c r="E173" s="2">
        <v>5535002</v>
      </c>
      <c r="F173" s="2">
        <v>719</v>
      </c>
      <c r="G173" s="3">
        <v>296840.70410241495</v>
      </c>
      <c r="H173" s="8"/>
    </row>
    <row r="174" spans="1:8" x14ac:dyDescent="0.2">
      <c r="A174" t="s">
        <v>172</v>
      </c>
      <c r="B174" s="1" t="s">
        <v>391</v>
      </c>
      <c r="C174" s="1">
        <v>0</v>
      </c>
      <c r="D174" s="1" t="s">
        <v>460</v>
      </c>
      <c r="E174" s="2">
        <v>38824</v>
      </c>
      <c r="F174" s="2">
        <v>34</v>
      </c>
      <c r="G174" s="3">
        <v>1376.0149066813754</v>
      </c>
      <c r="H174" s="8"/>
    </row>
    <row r="175" spans="1:8" x14ac:dyDescent="0.2">
      <c r="A175" t="s">
        <v>173</v>
      </c>
      <c r="B175" s="1" t="s">
        <v>392</v>
      </c>
      <c r="C175" s="1">
        <v>1</v>
      </c>
      <c r="D175" s="1" t="s">
        <v>457</v>
      </c>
      <c r="E175" s="2">
        <v>5423801</v>
      </c>
      <c r="F175" s="2">
        <v>49035</v>
      </c>
      <c r="G175" s="3">
        <v>87501.423882468604</v>
      </c>
      <c r="H175" s="8"/>
    </row>
    <row r="176" spans="1:8" x14ac:dyDescent="0.2">
      <c r="A176" t="s">
        <v>174</v>
      </c>
      <c r="B176" s="1" t="s">
        <v>393</v>
      </c>
      <c r="C176" s="1">
        <v>1</v>
      </c>
      <c r="D176" s="1" t="s">
        <v>457</v>
      </c>
      <c r="E176" s="2">
        <v>2063531</v>
      </c>
      <c r="F176" s="2">
        <v>20270</v>
      </c>
      <c r="G176" s="3">
        <v>43072.415017432097</v>
      </c>
      <c r="H176" s="8"/>
    </row>
    <row r="177" spans="1:8" x14ac:dyDescent="0.2">
      <c r="A177" t="s">
        <v>175</v>
      </c>
      <c r="B177" s="1" t="s">
        <v>394</v>
      </c>
      <c r="C177" s="1">
        <v>1</v>
      </c>
      <c r="D177" s="1" t="s">
        <v>459</v>
      </c>
      <c r="E177" s="2">
        <v>587482</v>
      </c>
      <c r="F177" s="2">
        <v>28900</v>
      </c>
      <c r="G177" s="3">
        <v>1129.16471881436</v>
      </c>
      <c r="H177" s="8"/>
    </row>
    <row r="178" spans="1:8" x14ac:dyDescent="0.2">
      <c r="A178" t="s">
        <v>176</v>
      </c>
      <c r="B178" s="1" t="s">
        <v>395</v>
      </c>
      <c r="C178" s="1">
        <v>1</v>
      </c>
      <c r="D178" s="1" t="s">
        <v>458</v>
      </c>
      <c r="E178" s="2">
        <v>13908129</v>
      </c>
      <c r="F178" s="2">
        <v>637660</v>
      </c>
      <c r="G178" s="3">
        <v>5925</v>
      </c>
      <c r="H178" s="8"/>
    </row>
    <row r="179" spans="1:8" x14ac:dyDescent="0.2">
      <c r="A179" t="s">
        <v>177</v>
      </c>
      <c r="B179" s="1" t="s">
        <v>396</v>
      </c>
      <c r="C179" s="1">
        <v>1</v>
      </c>
      <c r="D179" s="1" t="s">
        <v>458</v>
      </c>
      <c r="E179" s="2">
        <v>55011976.682029396</v>
      </c>
      <c r="F179" s="2">
        <v>1219090</v>
      </c>
      <c r="G179" s="3">
        <v>317610.71941148298</v>
      </c>
      <c r="H179" s="8"/>
    </row>
    <row r="180" spans="1:8" x14ac:dyDescent="0.2">
      <c r="A180" t="s">
        <v>178</v>
      </c>
      <c r="B180" s="1" t="s">
        <v>397</v>
      </c>
      <c r="C180" s="1">
        <v>1</v>
      </c>
      <c r="D180" s="1" t="s">
        <v>458</v>
      </c>
      <c r="E180" s="2">
        <v>11882136</v>
      </c>
      <c r="F180" s="2">
        <v>644330</v>
      </c>
      <c r="G180" s="3">
        <v>9015.2210962447389</v>
      </c>
      <c r="H180" s="8"/>
    </row>
    <row r="181" spans="1:8" x14ac:dyDescent="0.2">
      <c r="A181" t="s">
        <v>179</v>
      </c>
      <c r="B181" s="1" t="s">
        <v>398</v>
      </c>
      <c r="C181" s="1">
        <v>1</v>
      </c>
      <c r="D181" s="1" t="s">
        <v>457</v>
      </c>
      <c r="E181" s="2">
        <v>46447697</v>
      </c>
      <c r="F181" s="2">
        <v>505940</v>
      </c>
      <c r="G181" s="3">
        <v>1197789.9027744299</v>
      </c>
      <c r="H181" s="8"/>
    </row>
    <row r="182" spans="1:8" x14ac:dyDescent="0.2">
      <c r="A182" t="s">
        <v>180</v>
      </c>
      <c r="B182" s="1" t="s">
        <v>399</v>
      </c>
      <c r="C182" s="1">
        <v>1</v>
      </c>
      <c r="D182" s="1" t="s">
        <v>456</v>
      </c>
      <c r="E182" s="2">
        <v>20966000</v>
      </c>
      <c r="F182" s="2">
        <v>65610</v>
      </c>
      <c r="G182" s="3">
        <v>80611.989527215803</v>
      </c>
      <c r="H182" s="8"/>
    </row>
    <row r="183" spans="1:8" x14ac:dyDescent="0.2">
      <c r="A183" t="s">
        <v>181</v>
      </c>
      <c r="B183" s="1" t="s">
        <v>400</v>
      </c>
      <c r="C183" s="1">
        <v>1</v>
      </c>
      <c r="D183" s="1" t="s">
        <v>460</v>
      </c>
      <c r="E183" s="2">
        <v>54288</v>
      </c>
      <c r="F183" s="2">
        <v>260</v>
      </c>
      <c r="G183" s="3">
        <v>878.281507766667</v>
      </c>
      <c r="H183" s="8"/>
    </row>
    <row r="184" spans="1:8" x14ac:dyDescent="0.2">
      <c r="A184" t="s">
        <v>182</v>
      </c>
      <c r="B184" s="1" t="s">
        <v>401</v>
      </c>
      <c r="C184" s="1">
        <v>1</v>
      </c>
      <c r="D184" s="1" t="s">
        <v>460</v>
      </c>
      <c r="E184" s="2">
        <v>177206</v>
      </c>
      <c r="F184" s="2">
        <v>620</v>
      </c>
      <c r="G184" s="3">
        <v>1649.1426296296302</v>
      </c>
      <c r="H184" s="8"/>
    </row>
    <row r="185" spans="1:8" x14ac:dyDescent="0.2">
      <c r="A185" t="s">
        <v>183</v>
      </c>
      <c r="B185" s="1" t="s">
        <v>402</v>
      </c>
      <c r="C185" s="1">
        <v>0</v>
      </c>
      <c r="D185" s="1" t="s">
        <v>460</v>
      </c>
      <c r="E185" s="2">
        <v>31754</v>
      </c>
      <c r="F185" s="2">
        <v>54.4</v>
      </c>
      <c r="G185" s="3">
        <v>1270.1600000000001</v>
      </c>
      <c r="H185" s="8"/>
    </row>
    <row r="186" spans="1:8" x14ac:dyDescent="0.2">
      <c r="A186" t="s">
        <v>184</v>
      </c>
      <c r="B186" s="1" t="s">
        <v>403</v>
      </c>
      <c r="C186" s="1">
        <v>1</v>
      </c>
      <c r="D186" s="1" t="s">
        <v>460</v>
      </c>
      <c r="E186" s="2">
        <v>109455</v>
      </c>
      <c r="F186" s="2">
        <v>390</v>
      </c>
      <c r="G186" s="3">
        <v>755.20575592592593</v>
      </c>
      <c r="H186" s="8"/>
    </row>
    <row r="187" spans="1:8" x14ac:dyDescent="0.2">
      <c r="A187" t="s">
        <v>185</v>
      </c>
      <c r="B187" s="1" t="s">
        <v>404</v>
      </c>
      <c r="C187" s="1">
        <v>1</v>
      </c>
      <c r="D187" s="1" t="s">
        <v>458</v>
      </c>
      <c r="E187" s="2">
        <v>38647803</v>
      </c>
      <c r="F187" s="2">
        <v>1879357.5</v>
      </c>
      <c r="G187" s="3">
        <v>97156.119149999999</v>
      </c>
      <c r="H187" s="8"/>
    </row>
    <row r="188" spans="1:8" x14ac:dyDescent="0.2">
      <c r="A188" t="s">
        <v>186</v>
      </c>
      <c r="B188" s="1" t="s">
        <v>405</v>
      </c>
      <c r="C188" s="1">
        <v>1</v>
      </c>
      <c r="D188" s="1" t="s">
        <v>461</v>
      </c>
      <c r="E188" s="2">
        <v>553208</v>
      </c>
      <c r="F188" s="2">
        <v>163820</v>
      </c>
      <c r="G188" s="3">
        <v>4826.5870576872394</v>
      </c>
      <c r="H188" s="8"/>
    </row>
    <row r="189" spans="1:8" x14ac:dyDescent="0.2">
      <c r="A189" t="s">
        <v>187</v>
      </c>
      <c r="B189" s="1" t="s">
        <v>406</v>
      </c>
      <c r="C189" s="1">
        <v>1</v>
      </c>
      <c r="D189" s="1" t="s">
        <v>458</v>
      </c>
      <c r="E189" s="2">
        <v>1319011</v>
      </c>
      <c r="F189" s="2">
        <v>17360</v>
      </c>
      <c r="G189" s="3">
        <v>4020.2752980272599</v>
      </c>
      <c r="H189" s="8"/>
    </row>
    <row r="190" spans="1:8" x14ac:dyDescent="0.2">
      <c r="A190" t="s">
        <v>188</v>
      </c>
      <c r="B190" s="1" t="s">
        <v>407</v>
      </c>
      <c r="C190" s="1">
        <v>1</v>
      </c>
      <c r="D190" s="1" t="s">
        <v>457</v>
      </c>
      <c r="E190" s="2">
        <v>9799186</v>
      </c>
      <c r="F190" s="2">
        <v>447420</v>
      </c>
      <c r="G190" s="3">
        <v>497918.10930239898</v>
      </c>
      <c r="H190" s="8"/>
    </row>
    <row r="191" spans="1:8" x14ac:dyDescent="0.2">
      <c r="A191" t="s">
        <v>189</v>
      </c>
      <c r="B191" s="1" t="s">
        <v>408</v>
      </c>
      <c r="C191" s="1">
        <v>1</v>
      </c>
      <c r="D191" s="1" t="s">
        <v>457</v>
      </c>
      <c r="E191" s="2">
        <v>8282396</v>
      </c>
      <c r="F191" s="2">
        <v>41290</v>
      </c>
      <c r="G191" s="3">
        <v>679289.16685823596</v>
      </c>
      <c r="H191" s="8"/>
    </row>
    <row r="192" spans="1:8" x14ac:dyDescent="0.2">
      <c r="A192" t="s">
        <v>190</v>
      </c>
      <c r="B192" s="1" t="s">
        <v>409</v>
      </c>
      <c r="C192" s="1">
        <v>1</v>
      </c>
      <c r="D192" s="1" t="s">
        <v>456</v>
      </c>
      <c r="E192" s="2">
        <v>18734987</v>
      </c>
      <c r="F192" s="2">
        <v>185180</v>
      </c>
      <c r="G192" s="3">
        <v>40405.006007208605</v>
      </c>
      <c r="H192" s="8"/>
    </row>
    <row r="193" spans="1:11" x14ac:dyDescent="0.2">
      <c r="A193" t="s">
        <v>191</v>
      </c>
      <c r="B193" s="1" t="s">
        <v>410</v>
      </c>
      <c r="C193" s="1">
        <v>1</v>
      </c>
      <c r="D193" s="1" t="s">
        <v>456</v>
      </c>
      <c r="E193" s="2">
        <v>8548651</v>
      </c>
      <c r="F193" s="2">
        <v>141376</v>
      </c>
      <c r="G193" s="3">
        <v>7853.4503740001001</v>
      </c>
      <c r="H193" s="8"/>
    </row>
    <row r="194" spans="1:11" x14ac:dyDescent="0.2">
      <c r="A194" t="s">
        <v>192</v>
      </c>
      <c r="B194" s="1" t="s">
        <v>411</v>
      </c>
      <c r="C194" s="1">
        <v>1</v>
      </c>
      <c r="D194" s="1" t="s">
        <v>458</v>
      </c>
      <c r="E194" s="2">
        <v>53879957</v>
      </c>
      <c r="F194" s="2">
        <v>947300</v>
      </c>
      <c r="G194" s="3">
        <v>45628.320606048699</v>
      </c>
      <c r="H194" s="8"/>
    </row>
    <row r="195" spans="1:11" x14ac:dyDescent="0.2">
      <c r="A195" t="s">
        <v>193</v>
      </c>
      <c r="B195" s="1" t="s">
        <v>412</v>
      </c>
      <c r="C195" s="1">
        <v>1</v>
      </c>
      <c r="D195" s="1" t="s">
        <v>456</v>
      </c>
      <c r="E195" s="2">
        <v>68657600</v>
      </c>
      <c r="F195" s="2">
        <v>513120</v>
      </c>
      <c r="G195" s="3">
        <v>399234.54713747196</v>
      </c>
      <c r="H195" s="8"/>
    </row>
    <row r="196" spans="1:11" x14ac:dyDescent="0.2">
      <c r="A196" t="s">
        <v>194</v>
      </c>
      <c r="B196" s="1" t="s">
        <v>413</v>
      </c>
      <c r="C196" s="1">
        <v>1</v>
      </c>
      <c r="D196" s="1" t="s">
        <v>456</v>
      </c>
      <c r="E196" s="2">
        <v>1240977</v>
      </c>
      <c r="F196" s="2">
        <v>14870</v>
      </c>
      <c r="G196" s="3">
        <v>1606.5</v>
      </c>
      <c r="H196" s="8"/>
    </row>
    <row r="197" spans="1:11" x14ac:dyDescent="0.2">
      <c r="A197" t="s">
        <v>195</v>
      </c>
      <c r="B197" s="1" t="s">
        <v>414</v>
      </c>
      <c r="C197" s="1">
        <v>1</v>
      </c>
      <c r="D197" s="1" t="s">
        <v>458</v>
      </c>
      <c r="E197" s="2">
        <v>7416802</v>
      </c>
      <c r="F197" s="2">
        <v>56790</v>
      </c>
      <c r="G197" s="3">
        <v>4087.6282759559399</v>
      </c>
      <c r="H197" s="8"/>
    </row>
    <row r="198" spans="1:11" x14ac:dyDescent="0.2">
      <c r="A198" t="s">
        <v>196</v>
      </c>
      <c r="B198" s="1" t="s">
        <v>415</v>
      </c>
      <c r="C198" s="1">
        <v>1</v>
      </c>
      <c r="D198" s="1" t="s">
        <v>459</v>
      </c>
      <c r="E198" s="2">
        <v>106364</v>
      </c>
      <c r="F198" s="2">
        <v>750</v>
      </c>
      <c r="G198" s="3">
        <v>435.43821728166301</v>
      </c>
      <c r="H198" s="8"/>
    </row>
    <row r="199" spans="1:11" x14ac:dyDescent="0.2">
      <c r="A199" t="s">
        <v>197</v>
      </c>
      <c r="B199" s="1" t="s">
        <v>416</v>
      </c>
      <c r="C199" s="1">
        <v>1</v>
      </c>
      <c r="D199" s="1" t="s">
        <v>460</v>
      </c>
      <c r="E199" s="2">
        <v>1360092</v>
      </c>
      <c r="F199" s="2">
        <v>5130</v>
      </c>
      <c r="G199" s="3">
        <v>23559.224762442402</v>
      </c>
      <c r="H199" s="8"/>
    </row>
    <row r="200" spans="1:11" x14ac:dyDescent="0.2">
      <c r="A200" t="s">
        <v>198</v>
      </c>
      <c r="B200" s="1" t="s">
        <v>417</v>
      </c>
      <c r="C200" s="1">
        <v>1</v>
      </c>
      <c r="D200" s="1" t="s">
        <v>458</v>
      </c>
      <c r="E200" s="2">
        <v>11273661</v>
      </c>
      <c r="F200" s="2">
        <v>163610</v>
      </c>
      <c r="G200" s="3">
        <v>43156.708809135402</v>
      </c>
      <c r="H200" s="8"/>
    </row>
    <row r="201" spans="1:11" x14ac:dyDescent="0.2">
      <c r="A201" t="s">
        <v>199</v>
      </c>
      <c r="B201" s="1" t="s">
        <v>418</v>
      </c>
      <c r="C201" s="1">
        <v>1</v>
      </c>
      <c r="D201" s="1" t="s">
        <v>456</v>
      </c>
      <c r="E201" s="2">
        <v>78271472</v>
      </c>
      <c r="F201" s="2">
        <v>785350</v>
      </c>
      <c r="G201" s="3">
        <v>859794.17711810209</v>
      </c>
      <c r="H201" s="8"/>
    </row>
    <row r="202" spans="1:11" x14ac:dyDescent="0.2">
      <c r="A202" t="s">
        <v>200</v>
      </c>
      <c r="B202" s="1" t="s">
        <v>419</v>
      </c>
      <c r="C202" s="1">
        <v>1</v>
      </c>
      <c r="D202" s="1" t="s">
        <v>456</v>
      </c>
      <c r="E202" s="2">
        <v>5565284</v>
      </c>
      <c r="F202" s="2">
        <v>488100</v>
      </c>
      <c r="G202" s="3">
        <v>35799.628571428599</v>
      </c>
      <c r="H202" s="8"/>
      <c r="K202" s="9"/>
    </row>
    <row r="203" spans="1:11" x14ac:dyDescent="0.2">
      <c r="A203" t="s">
        <v>201</v>
      </c>
      <c r="B203" s="1" t="s">
        <v>420</v>
      </c>
      <c r="C203" s="1">
        <v>0</v>
      </c>
      <c r="D203" s="1" t="s">
        <v>460</v>
      </c>
      <c r="E203" s="2">
        <v>34339</v>
      </c>
      <c r="F203" s="2">
        <v>950</v>
      </c>
      <c r="G203" s="3">
        <v>775.75158001937803</v>
      </c>
      <c r="H203" s="8"/>
    </row>
    <row r="204" spans="1:11" x14ac:dyDescent="0.2">
      <c r="A204" t="s">
        <v>202</v>
      </c>
      <c r="B204" s="1" t="s">
        <v>421</v>
      </c>
      <c r="C204" s="1">
        <v>1</v>
      </c>
      <c r="D204" s="1" t="s">
        <v>459</v>
      </c>
      <c r="E204" s="2">
        <v>11001</v>
      </c>
      <c r="F204" s="2">
        <v>30</v>
      </c>
      <c r="G204" s="3">
        <v>32.6732777402149</v>
      </c>
      <c r="H204" s="8"/>
    </row>
    <row r="205" spans="1:11" x14ac:dyDescent="0.2">
      <c r="A205" t="s">
        <v>203</v>
      </c>
      <c r="B205" s="1" t="s">
        <v>422</v>
      </c>
      <c r="C205" s="1">
        <v>1</v>
      </c>
      <c r="D205" s="1" t="s">
        <v>458</v>
      </c>
      <c r="E205" s="2">
        <v>40144870</v>
      </c>
      <c r="F205" s="2">
        <v>241550</v>
      </c>
      <c r="G205" s="3">
        <v>27059.4477746626</v>
      </c>
      <c r="H205" s="8"/>
    </row>
    <row r="206" spans="1:11" x14ac:dyDescent="0.2">
      <c r="A206" t="s">
        <v>204</v>
      </c>
      <c r="B206" s="1" t="s">
        <v>423</v>
      </c>
      <c r="C206" s="1">
        <v>1</v>
      </c>
      <c r="D206" s="1" t="s">
        <v>457</v>
      </c>
      <c r="E206" s="2">
        <v>45154029</v>
      </c>
      <c r="F206" s="2">
        <v>603550</v>
      </c>
      <c r="G206" s="3">
        <v>91030.959454696102</v>
      </c>
      <c r="H206" s="8"/>
    </row>
    <row r="207" spans="1:11" x14ac:dyDescent="0.2">
      <c r="A207" t="s">
        <v>205</v>
      </c>
      <c r="B207" s="1" t="s">
        <v>424</v>
      </c>
      <c r="C207" s="1">
        <v>1</v>
      </c>
      <c r="D207" s="1" t="s">
        <v>456</v>
      </c>
      <c r="E207" s="2">
        <v>9154302</v>
      </c>
      <c r="F207" s="2">
        <v>83600</v>
      </c>
      <c r="G207" s="3">
        <v>357949.19975493499</v>
      </c>
      <c r="H207" s="8"/>
    </row>
    <row r="208" spans="1:11" x14ac:dyDescent="0.2">
      <c r="A208" t="s">
        <v>206</v>
      </c>
      <c r="B208" s="1" t="s">
        <v>425</v>
      </c>
      <c r="C208" s="1">
        <v>1</v>
      </c>
      <c r="D208" s="1" t="s">
        <v>457</v>
      </c>
      <c r="E208" s="2">
        <v>65128861</v>
      </c>
      <c r="F208" s="2">
        <v>243610</v>
      </c>
      <c r="G208" s="3">
        <v>2885570.3091608598</v>
      </c>
      <c r="H208" s="8"/>
    </row>
    <row r="209" spans="1:8" x14ac:dyDescent="0.2">
      <c r="A209" t="s">
        <v>207</v>
      </c>
      <c r="B209" s="1" t="s">
        <v>426</v>
      </c>
      <c r="C209" s="1">
        <v>1</v>
      </c>
      <c r="D209" s="1" t="s">
        <v>460</v>
      </c>
      <c r="E209" s="2">
        <v>320896618</v>
      </c>
      <c r="F209" s="2">
        <v>9831510</v>
      </c>
      <c r="G209" s="3">
        <v>18120714</v>
      </c>
      <c r="H209" s="8"/>
    </row>
    <row r="210" spans="1:8" x14ac:dyDescent="0.2">
      <c r="A210" t="s">
        <v>208</v>
      </c>
      <c r="B210" s="1" t="s">
        <v>427</v>
      </c>
      <c r="C210" s="1">
        <v>1</v>
      </c>
      <c r="D210" s="1" t="s">
        <v>461</v>
      </c>
      <c r="E210" s="2">
        <v>3431552</v>
      </c>
      <c r="F210" s="2">
        <v>176220</v>
      </c>
      <c r="G210" s="3">
        <v>53274.304214817399</v>
      </c>
      <c r="H210" s="8"/>
    </row>
    <row r="211" spans="1:8" x14ac:dyDescent="0.2">
      <c r="A211" t="s">
        <v>209</v>
      </c>
      <c r="B211" s="1" t="s">
        <v>428</v>
      </c>
      <c r="C211" s="1">
        <v>1</v>
      </c>
      <c r="D211" s="1" t="s">
        <v>456</v>
      </c>
      <c r="E211" s="2">
        <v>31298900</v>
      </c>
      <c r="F211" s="2">
        <v>447400</v>
      </c>
      <c r="G211" s="3">
        <v>66903.804142539491</v>
      </c>
      <c r="H211" s="8"/>
    </row>
    <row r="212" spans="1:8" x14ac:dyDescent="0.2">
      <c r="A212" t="s">
        <v>210</v>
      </c>
      <c r="B212" s="1" t="s">
        <v>429</v>
      </c>
      <c r="C212" s="1">
        <v>1</v>
      </c>
      <c r="D212" s="1" t="s">
        <v>459</v>
      </c>
      <c r="E212" s="2">
        <v>264603</v>
      </c>
      <c r="F212" s="2">
        <v>12190</v>
      </c>
      <c r="G212" s="3">
        <v>742.43213104100198</v>
      </c>
      <c r="H212" s="8"/>
    </row>
    <row r="213" spans="1:8" x14ac:dyDescent="0.2">
      <c r="A213" t="s">
        <v>211</v>
      </c>
      <c r="B213" s="1" t="s">
        <v>430</v>
      </c>
      <c r="C213" s="1">
        <v>1</v>
      </c>
      <c r="D213" s="1" t="s">
        <v>461</v>
      </c>
      <c r="E213" s="2">
        <v>31155134</v>
      </c>
      <c r="F213" s="2">
        <v>912050</v>
      </c>
      <c r="G213" s="3">
        <v>230364.01257568703</v>
      </c>
      <c r="H213" s="8"/>
    </row>
    <row r="214" spans="1:8" x14ac:dyDescent="0.2">
      <c r="A214" t="s">
        <v>212</v>
      </c>
      <c r="B214" s="1" t="s">
        <v>431</v>
      </c>
      <c r="C214" s="1">
        <v>1</v>
      </c>
      <c r="D214" s="1" t="s">
        <v>456</v>
      </c>
      <c r="E214" s="2">
        <v>91713300</v>
      </c>
      <c r="F214" s="2">
        <v>330967</v>
      </c>
      <c r="G214" s="3">
        <v>193241.108709536</v>
      </c>
      <c r="H214" s="8"/>
    </row>
    <row r="215" spans="1:8" x14ac:dyDescent="0.2">
      <c r="A215" t="s">
        <v>213</v>
      </c>
      <c r="B215" s="1" t="s">
        <v>432</v>
      </c>
      <c r="C215" s="1">
        <v>0</v>
      </c>
      <c r="D215" s="1" t="s">
        <v>460</v>
      </c>
      <c r="E215" s="2">
        <v>103574</v>
      </c>
      <c r="F215" s="2">
        <v>350</v>
      </c>
      <c r="G215" s="3">
        <v>3765</v>
      </c>
      <c r="H215" s="8"/>
    </row>
    <row r="216" spans="1:8" x14ac:dyDescent="0.2">
      <c r="A216" t="s">
        <v>214</v>
      </c>
      <c r="B216" s="1" t="s">
        <v>433</v>
      </c>
      <c r="C216" s="1">
        <v>0</v>
      </c>
      <c r="D216" s="1" t="s">
        <v>456</v>
      </c>
      <c r="E216" s="2">
        <v>4422143</v>
      </c>
      <c r="F216" s="2">
        <v>6020</v>
      </c>
      <c r="G216" s="3">
        <v>12673</v>
      </c>
      <c r="H216" s="8"/>
    </row>
    <row r="217" spans="1:8" x14ac:dyDescent="0.2">
      <c r="A217" t="s">
        <v>215</v>
      </c>
      <c r="B217" s="1" t="s">
        <v>434</v>
      </c>
      <c r="C217" s="1">
        <v>1</v>
      </c>
      <c r="D217" s="1" t="s">
        <v>456</v>
      </c>
      <c r="E217" s="2">
        <v>26916207</v>
      </c>
      <c r="F217" s="2">
        <v>527970</v>
      </c>
      <c r="G217" s="3">
        <v>37733.919936246501</v>
      </c>
      <c r="H217" s="8"/>
    </row>
    <row r="218" spans="1:8" x14ac:dyDescent="0.2">
      <c r="A218" t="s">
        <v>216</v>
      </c>
      <c r="B218" s="1" t="s">
        <v>435</v>
      </c>
      <c r="C218" s="1">
        <v>1</v>
      </c>
      <c r="D218" s="1" t="s">
        <v>458</v>
      </c>
      <c r="E218" s="2">
        <v>16100587</v>
      </c>
      <c r="F218" s="2">
        <v>752610</v>
      </c>
      <c r="G218" s="3">
        <v>21154.394545895</v>
      </c>
      <c r="H218" s="8"/>
    </row>
    <row r="219" spans="1:8" x14ac:dyDescent="0.2">
      <c r="A219" t="s">
        <v>217</v>
      </c>
      <c r="B219" s="1" t="s">
        <v>436</v>
      </c>
      <c r="C219" s="1">
        <v>1</v>
      </c>
      <c r="D219" s="1" t="s">
        <v>458</v>
      </c>
      <c r="E219" s="2">
        <v>15777451</v>
      </c>
      <c r="F219" s="2">
        <v>390760</v>
      </c>
      <c r="G219" s="3">
        <v>16304.6678070657</v>
      </c>
    </row>
  </sheetData>
  <sortState xmlns:xlrd2="http://schemas.microsoft.com/office/spreadsheetml/2017/richdata2" ref="J2:J218">
    <sortCondition ref="J2"/>
  </sortState>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G38" sqref="G38"/>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Context</vt:lpstr>
      <vt:lpstr>CountryData</vt:lpstr>
      <vt:lpstr>Graphics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Witt</dc:creator>
  <cp:lastModifiedBy>Vishnu Pillai</cp:lastModifiedBy>
  <dcterms:created xsi:type="dcterms:W3CDTF">2018-01-15T22:10:01Z</dcterms:created>
  <dcterms:modified xsi:type="dcterms:W3CDTF">2026-02-17T09:53:34Z</dcterms:modified>
</cp:coreProperties>
</file>